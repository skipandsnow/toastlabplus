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4 (2025-10-17)" sheetId="1" r:id="rId4"/>
    <sheet state="visible" name="parameters" sheetId="2" r:id="rId5"/>
    <sheet state="visible" name="Roles" sheetId="3" r:id="rId6"/>
    <sheet state="visible" name="Purpose" sheetId="4" r:id="rId7"/>
    <sheet state="visible" name="Pathways" sheetId="5" r:id="rId8"/>
  </sheets>
  <definedNames/>
  <calcPr/>
</workbook>
</file>

<file path=xl/sharedStrings.xml><?xml version="1.0" encoding="utf-8"?>
<sst xmlns="http://schemas.openxmlformats.org/spreadsheetml/2006/main" count="718" uniqueCount="344">
  <si>
    <t>Good Life Toastmasters Club
美好人生英文俱樂部</t>
  </si>
  <si>
    <t>地址：臺北市中山區復興北路150號9樓-小樹屋902房 (近捷運南京復興站8號出口步行3分鐘內)</t>
  </si>
  <si>
    <t>Address：Room 902, 9F., No. 150, Fuxing N. Rd., Zhongshan Dist., Taipei City (Near Nanjing Fuxing MRT Station Ext.8)</t>
  </si>
  <si>
    <t>Time: Every 1st &amp; 3rd Friday Evening 7:15~9:15PM                                                                                Charter in March.1st,2021</t>
  </si>
  <si>
    <t>Admission Fee: For members and guests $150 (Including snacks,drinks)</t>
  </si>
  <si>
    <t>Club Mission</t>
  </si>
  <si>
    <t>We provide a supportive and positive learning experience in which members are empowered to develop communication and leadership skills, resulting in greater self-confidence and personal growth.</t>
  </si>
  <si>
    <t>Meeting:#104 Date: Friday, Oct 17, 2025</t>
  </si>
  <si>
    <t>Time</t>
  </si>
  <si>
    <t>Content</t>
  </si>
  <si>
    <t>Conductor</t>
  </si>
  <si>
    <t>Meeting Role</t>
  </si>
  <si>
    <t xml:space="preserve">Preperation </t>
  </si>
  <si>
    <t>All Officers</t>
  </si>
  <si>
    <t xml:space="preserve">Reception </t>
  </si>
  <si>
    <t xml:space="preserve"> </t>
  </si>
  <si>
    <t>Call Meeting to order SAA</t>
  </si>
  <si>
    <t>Dennis Chen</t>
  </si>
  <si>
    <t>Opening Remarks &amp; Guests Introduction</t>
  </si>
  <si>
    <t>President</t>
  </si>
  <si>
    <t>Toastmaster of the Evening Introduction</t>
  </si>
  <si>
    <t>Member</t>
  </si>
  <si>
    <t>TME</t>
  </si>
  <si>
    <t>Timing Rules</t>
  </si>
  <si>
    <t>Timer</t>
  </si>
  <si>
    <t>Ah Counter Rules</t>
  </si>
  <si>
    <t>Ah Counter</t>
  </si>
  <si>
    <t>Vote Counter Rules</t>
  </si>
  <si>
    <t>Vote Counter</t>
  </si>
  <si>
    <t>Variety Session</t>
  </si>
  <si>
    <t>Session Master</t>
  </si>
  <si>
    <t>Prepared Speech Session</t>
  </si>
  <si>
    <t>Speaker</t>
  </si>
  <si>
    <t xml:space="preserve">1st Timer &amp; Ah Counter Report                                </t>
  </si>
  <si>
    <t>Timer/Ah Counter</t>
  </si>
  <si>
    <t>Intermission &amp; Group Photo</t>
  </si>
  <si>
    <t>Photographer</t>
  </si>
  <si>
    <t>Table Topics Session</t>
  </si>
  <si>
    <t>Evaluation Session</t>
  </si>
  <si>
    <t>GE</t>
  </si>
  <si>
    <t>IE</t>
  </si>
  <si>
    <t xml:space="preserve">2nd Timer &amp; Ah Counter Report                                </t>
  </si>
  <si>
    <t>Language Evaluation Session</t>
  </si>
  <si>
    <t>LE</t>
  </si>
  <si>
    <t>General Evaluation Session</t>
  </si>
  <si>
    <t>Voting Time</t>
  </si>
  <si>
    <t>Awarding &amp; Appreciation</t>
  </si>
  <si>
    <t>Guest Sharing &amp; Announcement</t>
  </si>
  <si>
    <t>Meeting Adjourn</t>
  </si>
  <si>
    <t>E-Voting (6 Awards)</t>
  </si>
  <si>
    <t>X</t>
  </si>
  <si>
    <t>1. Best Speaker</t>
  </si>
  <si>
    <t>4. Best Table Topics Speaker</t>
  </si>
  <si>
    <t>2. Most Imroved Speaker</t>
  </si>
  <si>
    <t>5. Best Individual Evaluator</t>
  </si>
  <si>
    <t>3. Best Session Master</t>
  </si>
  <si>
    <t>THANK YOU FOR YOUR PARTICIPATION!! SEE YOU NEXT MEETING!!</t>
  </si>
  <si>
    <t>E-Voting QR Code</t>
  </si>
  <si>
    <r>
      <rPr>
        <rFont val="Arial"/>
        <color rgb="FF333333"/>
        <sz val="10.0"/>
      </rPr>
      <t xml:space="preserve">Toastmasters International, District 67(Toastmasters of Taiwan District): </t>
    </r>
    <r>
      <rPr>
        <rFont val="Arial"/>
        <color rgb="FF1155CC"/>
        <sz val="10.0"/>
        <u/>
      </rPr>
      <t>www.toastmasters.org.tw</t>
    </r>
  </si>
  <si>
    <t>Toastmasters International: www.toastmasters.org</t>
  </si>
  <si>
    <t>FACEBOOK: Good Life Toastmasters Club</t>
  </si>
  <si>
    <t>計時員</t>
  </si>
  <si>
    <t>總主持人</t>
  </si>
  <si>
    <t>個別講評員</t>
  </si>
  <si>
    <t>贅語記錄員</t>
  </si>
  <si>
    <t>總講評</t>
  </si>
  <si>
    <t>Table Topics</t>
  </si>
  <si>
    <t>即席演講</t>
  </si>
  <si>
    <t>計票員</t>
  </si>
  <si>
    <t>語言講評</t>
  </si>
  <si>
    <t>多元單元(遊戲單元)</t>
  </si>
  <si>
    <t xml:space="preserve">   FB Page</t>
  </si>
  <si>
    <t>Guest Line Group</t>
  </si>
  <si>
    <t>Guest Feedback</t>
  </si>
  <si>
    <t xml:space="preserve">學習途徑Pathways: </t>
  </si>
  <si>
    <t>Project:</t>
  </si>
  <si>
    <t xml:space="preserve">Purpose Statement : </t>
  </si>
  <si>
    <t>■ The purpose of this project is for the member to identify his or her primary leadership style or styles.
■ The purpose of this speech is for the member to share some aspect of his or her primary leadership style or
discuss leadership styles in general.</t>
  </si>
  <si>
    <t>■The purpose of this project is for the member to introduce themselves to the club and learn the basic structure of a public speech.</t>
  </si>
  <si>
    <t>■ The purpose of this speech is for the member to share some aspect of his or her leadership experience and the impact of a lessons learned meeting.</t>
  </si>
  <si>
    <t>■ The purpose of this project is for the member to practice the skills needed to connect with an unfamiliar audience.</t>
  </si>
  <si>
    <t xml:space="preserve">Good Life Toastmasters 2025-2026 Club Officers </t>
  </si>
  <si>
    <t>會長</t>
  </si>
  <si>
    <t>mudian10000@hotmail.com</t>
  </si>
  <si>
    <t>VP Education</t>
  </si>
  <si>
    <t>教育副會長</t>
  </si>
  <si>
    <t>Eloise Hsu</t>
  </si>
  <si>
    <t>eloiseprincess2000@gmail.com</t>
  </si>
  <si>
    <t xml:space="preserve">VP Membership </t>
  </si>
  <si>
    <t>會員副會長</t>
  </si>
  <si>
    <t>Yaya Liao</t>
  </si>
  <si>
    <t>ecoces@gmail.com</t>
  </si>
  <si>
    <t>VP Public Relationship</t>
  </si>
  <si>
    <t>公關副會長</t>
  </si>
  <si>
    <t>Anabela Liang</t>
  </si>
  <si>
    <t>ababela0328@gmail.com</t>
  </si>
  <si>
    <t>Secretary</t>
  </si>
  <si>
    <t>秘書長</t>
  </si>
  <si>
    <t>Maxim Niederau</t>
  </si>
  <si>
    <t>Maxim.niederau@gmail.com</t>
  </si>
  <si>
    <t>Teasurer</t>
  </si>
  <si>
    <t>財務長</t>
  </si>
  <si>
    <t>Regina Cheng</t>
  </si>
  <si>
    <t>regina0218@gmail.com</t>
  </si>
  <si>
    <t>Sargeant-at-Arms</t>
  </si>
  <si>
    <t>事務長</t>
  </si>
  <si>
    <t>Marinda Kan</t>
  </si>
  <si>
    <t>Kanshowmei@gmail.com</t>
  </si>
  <si>
    <t>I.P. President</t>
  </si>
  <si>
    <t>前任會長</t>
  </si>
  <si>
    <t>Javier Bernabeu</t>
  </si>
  <si>
    <t>joberes22@gmail.com</t>
  </si>
  <si>
    <t>Chartering President</t>
  </si>
  <si>
    <t>創會會長</t>
  </si>
  <si>
    <t>Alex Huang</t>
  </si>
  <si>
    <t>alexbase1216@gmail.com</t>
  </si>
  <si>
    <t>Yes! I I want to come back next time, please contact me!</t>
  </si>
  <si>
    <t>Yes! I want to join Good Life Toastmasters Club as a Member</t>
  </si>
  <si>
    <t>English Full Name</t>
  </si>
  <si>
    <t xml:space="preserve">Contact Number         </t>
  </si>
  <si>
    <t>E-mail Address</t>
  </si>
  <si>
    <t xml:space="preserve"> Home or Company Address</t>
  </si>
  <si>
    <t>會員半年費Half Year Membership Fee: 2,100NTD</t>
  </si>
  <si>
    <t>會員年費Annual Membership Fee: 4,000NTD</t>
  </si>
  <si>
    <t>線上教材使用設定費Pathways System: 700NTD (Once)</t>
  </si>
  <si>
    <t>Item</t>
  </si>
  <si>
    <t>Duration</t>
  </si>
  <si>
    <t>Buffer</t>
  </si>
  <si>
    <t>Display Time</t>
  </si>
  <si>
    <t>Project</t>
  </si>
  <si>
    <t>Title</t>
  </si>
  <si>
    <t>Pathway</t>
  </si>
  <si>
    <t>Pathway(Abbr.)</t>
  </si>
  <si>
    <t>speaker1</t>
  </si>
  <si>
    <t>High Performance Leadership</t>
  </si>
  <si>
    <t>Moving Mountains From Inside Us</t>
  </si>
  <si>
    <t>Motivational Strategies</t>
  </si>
  <si>
    <t>L5P2</t>
  </si>
  <si>
    <t>MS</t>
  </si>
  <si>
    <t>speaker2</t>
  </si>
  <si>
    <t>Ice Breaker</t>
  </si>
  <si>
    <t>Voyage of Discovery</t>
  </si>
  <si>
    <t>Presentation Mastery</t>
  </si>
  <si>
    <t>L1P1</t>
  </si>
  <si>
    <t>PM</t>
  </si>
  <si>
    <t>speaker3</t>
  </si>
  <si>
    <t>speaker4</t>
  </si>
  <si>
    <t>IE1</t>
  </si>
  <si>
    <t>IE2</t>
  </si>
  <si>
    <t>IE3</t>
  </si>
  <si>
    <t>IE4</t>
  </si>
  <si>
    <t>EE</t>
  </si>
  <si>
    <t>Max. Speech Time</t>
  </si>
  <si>
    <t>Max. Time IE</t>
  </si>
  <si>
    <t>Theme</t>
  </si>
  <si>
    <t>Question</t>
  </si>
  <si>
    <t>3-4m</t>
  </si>
  <si>
    <t>4-6m</t>
  </si>
  <si>
    <t>2-3m</t>
  </si>
  <si>
    <t>The Power of Words</t>
  </si>
  <si>
    <t>Has someone’s words ever changed your life?</t>
  </si>
  <si>
    <t>5-7m</t>
  </si>
  <si>
    <t>6-8m</t>
  </si>
  <si>
    <t>7-9m</t>
  </si>
  <si>
    <t>8-10m</t>
  </si>
  <si>
    <t>9-11m</t>
  </si>
  <si>
    <t>10-12m</t>
  </si>
  <si>
    <t>22m</t>
  </si>
  <si>
    <t>Role</t>
  </si>
  <si>
    <t>Name</t>
  </si>
  <si>
    <t>Display Name</t>
  </si>
  <si>
    <t>Michael James</t>
  </si>
  <si>
    <t>Variety Session Master</t>
  </si>
  <si>
    <t>Speaker1</t>
  </si>
  <si>
    <t>Javier Bernabeu, MS4</t>
  </si>
  <si>
    <t>Speaker2</t>
  </si>
  <si>
    <t>Tanya Chen(Sandwich)</t>
  </si>
  <si>
    <t>Speaker3</t>
  </si>
  <si>
    <t>Speaker4</t>
  </si>
  <si>
    <t>Table Topic Session Master</t>
  </si>
  <si>
    <t>Tappy Hsieh</t>
  </si>
  <si>
    <t>PM3</t>
  </si>
  <si>
    <t>Carol Chang</t>
  </si>
  <si>
    <t>Pearl Huang</t>
  </si>
  <si>
    <t>absent</t>
  </si>
  <si>
    <t>Hana Bruce</t>
  </si>
  <si>
    <t>Bruce Fan</t>
  </si>
  <si>
    <t>Michael Yu(Challengers)</t>
  </si>
  <si>
    <t>Nancy Nguyen</t>
  </si>
  <si>
    <t>Quentin Yao</t>
  </si>
  <si>
    <t>Eric Tang</t>
  </si>
  <si>
    <t>Augustine Chang (EYT)</t>
  </si>
  <si>
    <t>David Liao (Pega Pega)</t>
  </si>
  <si>
    <t>Richard Lo (Life Bridge)</t>
  </si>
  <si>
    <t>Laura Kuo (BID)</t>
  </si>
  <si>
    <t>William Lu (Taipei)</t>
  </si>
  <si>
    <t>Pathways</t>
  </si>
  <si>
    <t>Abbreviation</t>
  </si>
  <si>
    <t>Level</t>
  </si>
  <si>
    <t>Purpose Statement</t>
  </si>
  <si>
    <t>Dynamic Leadership</t>
  </si>
  <si>
    <t>DL</t>
  </si>
  <si>
    <t>■ The purpose of this project is for the member to introduce themselves to the club and learn the basic structure of a public speech.</t>
  </si>
  <si>
    <t>L1P2</t>
  </si>
  <si>
    <t>Writing a Speech with Purpose</t>
  </si>
  <si>
    <t>■ The purpose of this project is to learn or review basic methods for writing a speech with a defined purpose and to present a well-organized speech on any topic.</t>
  </si>
  <si>
    <t>L1P3</t>
  </si>
  <si>
    <t>Introduction to Vocal Variety and Body Language</t>
  </si>
  <si>
    <t xml:space="preserve">■ The purpose of this project is for the member to practice using vocal variety or body language to enhance a speech.                                                                        </t>
  </si>
  <si>
    <t>L1P4</t>
  </si>
  <si>
    <t>Evaluation and Feedback</t>
  </si>
  <si>
    <t>■ The purpose of this project is to practice applying feedback and serve as a speech evaluator during a club meeting.
■ The purpose of this speech is for the member to present a speech and receive feedback from the evaluator.</t>
  </si>
  <si>
    <t>L2P1</t>
  </si>
  <si>
    <t>Understanding Your Leadership Style</t>
  </si>
  <si>
    <t>L2P2</t>
  </si>
  <si>
    <t>Understanding Your Communication Style</t>
  </si>
  <si>
    <t>■ The purpose of this project is for the member to learn about different communication styles and identify his or her primary style.
■ The purpose of this speech is for the member to share the impact of his or her style on others.</t>
  </si>
  <si>
    <t>L2P3</t>
  </si>
  <si>
    <t>Introduction to Toastmasters Mentoring</t>
  </si>
  <si>
    <t xml:space="preserve">■ The purpose of this project is for the member to clearly define how Toastmasters envisions mentoring.                                                                        
■ The purpose of this speech is for the member to share some aspect of a previous experience as a protégé.                                                                        </t>
  </si>
  <si>
    <t>L3P1</t>
  </si>
  <si>
    <t>Negotiate the Best Outcome</t>
  </si>
  <si>
    <t>■ The purpose of this project is for the member to learn about different types of negotiation and the strategies that can be used when negotiating.
■ The purpose of this speech is for the member to share some aspect of a past or future negotiation in his or her life.</t>
  </si>
  <si>
    <t>L4P1</t>
  </si>
  <si>
    <t>Manage Change</t>
  </si>
  <si>
    <t>■ The purpose of this project is for the member to practice developing a change management plan. 
■ The purpose of this speech is for the member to share some aspect of a change management plan.</t>
  </si>
  <si>
    <t>L5P1</t>
  </si>
  <si>
    <t>Lead in Any Situation</t>
  </si>
  <si>
    <t>■ The purpose of this project is for the member to apply the skills needed to successfully lead in a volunteer or other organization.
■ The purpose of this speech is for the member to share some aspect of his or her experience as a leader and/or the impact of the 360° evaluation.</t>
  </si>
  <si>
    <t>Reflect on Your Path</t>
  </si>
  <si>
    <t>■ The purpose of this project is for the member to reflect on his or her growth during the completion of an entire path.
■ The purpose of the speech is for the member to share some aspect of his or her growth during the completion of a path.</t>
  </si>
  <si>
    <t>Effective Coaching</t>
  </si>
  <si>
    <t>EC</t>
  </si>
  <si>
    <t>■ The purpose of this project is for the member to identify his or her primary leadership style or styles.
■ The purpose of this speech is for the member to share some aspect of his or her primary leadership style or discuss leadership styles in general.</t>
  </si>
  <si>
    <t>Reaching Consensus</t>
  </si>
  <si>
    <t>■ The purpose of this project is for the member to work with a group to practice reaching consensus on any topic.</t>
  </si>
  <si>
    <t>Improvement Through Positive Coaching</t>
  </si>
  <si>
    <t>■ The purpose of this project is for the member to develop and apply skills for coaching a fellow member or a person outside of Toastmasters who can benefit from his or her expertise.
■ The purpose of this speech is for the member to share some aspect of his or her experience coaching.</t>
  </si>
  <si>
    <t>■ The purpose of this project is for the member to apply his or her leadership and planning knowledge to develop a project plan, organize a guidance committee, and implement the plan with the help of a team.
■ The purpose of the first speech is for the member to introduce his or her plan and vision.</t>
  </si>
  <si>
    <t>Engaging Humor</t>
  </si>
  <si>
    <t>EH</t>
  </si>
  <si>
    <t>Know Your Sense of Humor</t>
  </si>
  <si>
    <t>■ The purpose of this project is to begin developing a collection of humorous stories and to present a speech that includes humor.</t>
  </si>
  <si>
    <t>Connect with Your Audience</t>
  </si>
  <si>
    <t>Engage Your Audience With Humor</t>
  </si>
  <si>
    <t>■ The purpose of this project is for the member to determine their style of humor and apply it to a speech that centers around a central message.</t>
  </si>
  <si>
    <t>The Power of Humor in an Impromptu Speech</t>
  </si>
  <si>
    <t>■ The purpose of this project is for the member to develop their method for giving impromptu speeches and practice adapting rehearsed stories during a presentation.</t>
  </si>
  <si>
    <t>Deliver Your Message With Humor</t>
  </si>
  <si>
    <t>■ The purpose of this project is for the member to practice developing and presenting a longer humorous speech.</t>
  </si>
  <si>
    <t>Innovative Planning</t>
  </si>
  <si>
    <t>IP</t>
  </si>
  <si>
    <t>Connect With Your Audience</t>
  </si>
  <si>
    <t>Present a Proposal</t>
  </si>
  <si>
    <t>■ The purpose of this project is for the member to practice developing and presenting a proposal.</t>
  </si>
  <si>
    <t>Manage Projects Successfully</t>
  </si>
  <si>
    <t>■ The purpose of this project is for the member to practice developing a plan, building a team, and fulfilling the plan with the help of his or her team.
■ The purpose of the first speech is for the member to give a short overview of the plan for his or her project. Notes for the Evaluator</t>
  </si>
  <si>
    <t>Leadership Development</t>
  </si>
  <si>
    <t>LD</t>
  </si>
  <si>
    <t>Managing Time</t>
  </si>
  <si>
    <t>■ The purpose of this project is for the member to observe his or her time management patterns.</t>
  </si>
  <si>
    <t>Planning and Implementing</t>
  </si>
  <si>
    <t xml:space="preserve">■ The purpose of this project is for the member to practice developing a plan and bringing that plan to fruition.
■ The purpose of this speech is for the member to share some aspect of planning and implementing his or her
small-scale project.                                                                </t>
  </si>
  <si>
    <t>L3P2</t>
  </si>
  <si>
    <t>Focus on the Positive</t>
  </si>
  <si>
    <t>■ The purpose of this project is for the member to practice being aware of his or her thoughts and feelings, as well as the impact of his or her responses on others.
■ The purpose of this speech is for the member to share his or her experience completing the project.</t>
  </si>
  <si>
    <t>L3P2-2</t>
  </si>
  <si>
    <t>Understanding Vocal Variety</t>
  </si>
  <si>
    <t>■ The purpose of this project is for the member to practice using vocal variety to enhance a speech.</t>
  </si>
  <si>
    <t>Leading Your Team</t>
  </si>
  <si>
    <t>■ The purpose of this project is for the member to lead a small team to the completion of a project.
■ The purpose of this speech is for the member to share some aspect of his or her experience leading a team.</t>
  </si>
  <si>
    <t>Manage Successful Events</t>
  </si>
  <si>
    <t>■ The purpose of this project is for the member to practice planning, organizing, leading, and implementing an event.
■ The purpose of this speech is for the member to share his or her experience planning, organizing, leading, and implementing an event.</t>
  </si>
  <si>
    <t>Active Listening</t>
  </si>
  <si>
    <t>■ The purpose of this project is for the member to demonstrate his or her ability to listen to what others say.</t>
  </si>
  <si>
    <t>Deliver Social Speeches</t>
  </si>
  <si>
    <t>■ The purpose of this project is for the member to practice delivering social speeches in front of club members.</t>
  </si>
  <si>
    <t>L3P1-1</t>
  </si>
  <si>
    <t>Understanding Emotional Intelligence</t>
  </si>
  <si>
    <t>■ The purpose of this project is for the member to cultivate an understanding of how his or her emotions impact relationships. It is also designed to help the member identify how others’ emotions impact his or her emotional state.
■ The purpose of this speech is for the member to share some aspect of his or her experience journaling emotions or being aware of emotions when interacting with others.</t>
  </si>
  <si>
    <t>Motivate Others</t>
  </si>
  <si>
    <t>■ The purpose of this project is for the member to practice the skills needed to motivate team members through the completion of a project.
■ The purpose of this speech is for the member to share some aspect of his or her experience motivating team members through the completion of a project.</t>
  </si>
  <si>
    <t>Team Building</t>
  </si>
  <si>
    <t>■ The purpose of this project is for the member to practice the skills needed to build a cohesive team and host an event.
■ The purpose of this first speech is for the member to introduce the team-building event he or she plans to host.</t>
  </si>
  <si>
    <t>Persuasive Influence</t>
  </si>
  <si>
    <t>PI</t>
  </si>
  <si>
    <t>Understanding Conflict Resolution</t>
  </si>
  <si>
    <t>■ The purpose of this project is for the member to develop or enhance his or her understanding of the steps and strategies to address conflict.
■ The purpose of this speech is for the member to share some aspect of his or her experience learning about and/or resolving conflict.</t>
  </si>
  <si>
    <t>Leading in Difficult Situations</t>
  </si>
  <si>
    <t>■ The purpose of this project is for the member to practice strategies for adjusting to unexpected changes to a finalized plan.</t>
  </si>
  <si>
    <t>Effective Body Language</t>
  </si>
  <si>
    <t>■ The purpose of this project is for the member to deliver a speech with awareness of intentional and unintentional body language, as well as to learn, practice, 
and refine how he or she uses nonverbal communication when delivering a speech.</t>
  </si>
  <si>
    <t>Persuasive Speaking</t>
  </si>
  <si>
    <t>■ The purpose of this project is for the member to understand the types of persuasive speeches and deliver a persuasive speech at a club meeting.</t>
  </si>
  <si>
    <t>Managing a Difficult Audience</t>
  </si>
  <si>
    <t>■ The purpose of this project is for the member to practice the skills needed to address audience challenges when he or she presents outside of the Toastmasters club.</t>
  </si>
  <si>
    <t>Prepare to Speak Professionally</t>
  </si>
  <si>
    <t>■ The purpose of this project is for the member to practice developing and presenting a longer speech.</t>
  </si>
  <si>
    <t>Strategic Relationships</t>
  </si>
  <si>
    <t>SR</t>
  </si>
  <si>
    <t>Make Connections Through Networking</t>
  </si>
  <si>
    <t>■ The purpose of this project is for the member to develop and practice a personal strategy for building connections through networking.
■ The purpose of this speech is for the member to share some aspect of his or her experience networking.</t>
  </si>
  <si>
    <t>Public Relations Strategies</t>
  </si>
  <si>
    <t>■ The purpose of this project is for the member to practice the skills needed to effectively use public relations strategies for any group or situation.
■ The purpose of this speech is for the member to share some aspect of his or her public relations strategy.</t>
  </si>
  <si>
    <t>Leading in Your Volunteer Organization</t>
  </si>
  <si>
    <t>■ The purpose of this project is for the member to apply the skills needed to successfully lead in a volunteer organization.
■ The purpose of this speech is for the member to share some aspect of his or her experience serving as a leader in a volunteer organization.</t>
  </si>
  <si>
    <t>Team Collaboration</t>
  </si>
  <si>
    <t>TC</t>
  </si>
  <si>
    <t>Evaluation and Feedback—First Speech</t>
  </si>
  <si>
    <t>Successful Collaboration</t>
  </si>
  <si>
    <t>■ The purpose of this project is for the member to be introduced to or review strategies for working in a collaborative group.
■ The purpose of this speech is for the member to share some aspect of his or her experience practicing collaboration with a small team.</t>
  </si>
  <si>
    <t>Visionary Communication</t>
  </si>
  <si>
    <t>VC</t>
  </si>
  <si>
    <t>Develop a Communication Plan</t>
  </si>
  <si>
    <t>■ The purpose of this project is for the member to practice developing a communication plan.</t>
  </si>
  <si>
    <t>Inspire Your Audience</t>
  </si>
  <si>
    <t>■ The purpose of this project is for the member to practice writing and delivering a speech that inspires others. 
■ The purpose of the speech is for the member to inspire the audience.</t>
  </si>
  <si>
    <t>L3P2-1</t>
  </si>
  <si>
    <t>Using Presentation Software</t>
  </si>
  <si>
    <t>■ The purpose of this project is for the member to introduce or review basic presentation software strategies for creating and 
using slides to support or enhance a speech.
■ The purpose of this speech is for the member to demonstrate his or her understanding of how to use presentation software, 
including the creation of slides and incorporating the technology into a speech.</t>
  </si>
  <si>
    <t>Communicate Change</t>
  </si>
  <si>
    <t>■ The purpose of this project is for the member to practice the skills needed to effectively communicate change to a group or organization.
■ The purpose of this speech is for the member to practice speaking about change.</t>
  </si>
  <si>
    <t>Develop Your Vision</t>
  </si>
  <si>
    <t>■ The purpose of this project is for the member to develop a detailed vision for his or her personal life, professional life, or an organization.
■ The purpose of this first speech is for the member to share some aspect of his or her vision. Notes for the Evaluator</t>
  </si>
  <si>
    <t>Distinguished Toastmaster—First Speech</t>
  </si>
  <si>
    <t>■ The purpose of this project is for the member to demonstrate his or her skills as a leader and a public speaker. 
■ The purpose of this first speech is for the member to introduce his or her plan and vision.</t>
  </si>
  <si>
    <t>Distinguished Toastmaster—Second Speech</t>
  </si>
  <si>
    <t>■ The purpose of this project is for the member to demonstrate his or her skills as a leader and a public speaker. 
■ The purpose of this second speech is for the member to share some aspect of his or her experience
completing the project.</t>
  </si>
  <si>
    <t>Path</t>
  </si>
  <si>
    <t>Yulin Lin</t>
  </si>
  <si>
    <t>VC2</t>
  </si>
  <si>
    <r>
      <rPr>
        <rFont val="Arial"/>
        <color rgb="FF000000"/>
        <sz val="11.0"/>
      </rPr>
      <t>VC</t>
    </r>
  </si>
  <si>
    <t>LD4</t>
  </si>
  <si>
    <t>DTM</t>
  </si>
  <si>
    <t>MS4</t>
  </si>
  <si>
    <t>TC1</t>
  </si>
  <si>
    <t>PM2</t>
  </si>
  <si>
    <t>IP3</t>
  </si>
  <si>
    <t>John Chiang</t>
  </si>
  <si>
    <t>LD1</t>
  </si>
  <si>
    <t>Hana Lin</t>
  </si>
  <si>
    <t>EH1</t>
  </si>
  <si>
    <t>L3</t>
  </si>
  <si>
    <t>PM1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</si>
</sst>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NT$-404]#,##0.00"/>
    <numFmt numFmtId="165" formatCode="[m]&quot;m&quot;"/>
    <numFmt numFmtId="166" formatCode="0&quot;&amp;&quot;"/>
    <numFmt numFmtId="167" formatCode="yyyy/M/d"/>
  </numFmts>
  <fonts count="50">
    <font>
      <sz val="12.0"/>
      <color theme="1"/>
      <name val="Calibri"/>
      <scheme val="minor"/>
    </font>
    <font>
      <b/>
      <sz val="26.0"/>
      <color rgb="FF000000"/>
      <name val="Arial"/>
    </font>
    <font>
      <sz val="12.0"/>
      <color theme="1"/>
      <name val="Arial"/>
    </font>
    <font>
      <color theme="1"/>
      <name val="Calibri"/>
    </font>
    <font>
      <sz val="12.0"/>
      <color rgb="FF000000"/>
      <name val="Arial"/>
    </font>
    <font>
      <b/>
      <sz val="14.0"/>
      <color rgb="FF000000"/>
      <name val="Arial"/>
    </font>
    <font>
      <sz val="12.0"/>
      <color rgb="FF000000"/>
      <name val="Calibri"/>
    </font>
    <font>
      <b/>
      <sz val="14.0"/>
      <color theme="1"/>
      <name val="Calibri"/>
    </font>
    <font>
      <sz val="11.0"/>
      <color theme="1"/>
      <name val="Calibri"/>
    </font>
    <font/>
    <font>
      <sz val="14.0"/>
      <color rgb="FF000000"/>
      <name val="Calibri"/>
    </font>
    <font>
      <sz val="12.0"/>
      <color theme="1"/>
      <name val="Calibri"/>
    </font>
    <font>
      <b/>
      <sz val="12.0"/>
      <color rgb="FF000000"/>
      <name val="Arial"/>
    </font>
    <font>
      <b/>
      <color theme="1"/>
      <name val="Calibri"/>
      <scheme val="minor"/>
    </font>
    <font>
      <b/>
      <sz val="12.0"/>
      <color theme="1"/>
      <name val="Calibri"/>
    </font>
    <font>
      <b/>
      <sz val="12.0"/>
      <color theme="1"/>
      <name val="Arial"/>
    </font>
    <font>
      <sz val="12.0"/>
      <color rgb="FF666666"/>
      <name val="Arial"/>
    </font>
    <font>
      <sz val="12.0"/>
      <color rgb="FF666666"/>
      <name val="Calibri"/>
    </font>
    <font>
      <color rgb="FF666666"/>
      <name val="Calibri"/>
      <scheme val="minor"/>
    </font>
    <font>
      <color rgb="FF000000"/>
      <name val="Roboto"/>
    </font>
    <font>
      <b/>
      <sz val="10.0"/>
      <color rgb="FF000000"/>
      <name val="Arial"/>
    </font>
    <font>
      <b/>
      <sz val="12.0"/>
      <color rgb="FF000000"/>
      <name val="Comic Sans MS"/>
    </font>
    <font>
      <u/>
      <sz val="10.0"/>
      <color rgb="FF333333"/>
      <name val="Arial"/>
    </font>
    <font>
      <sz val="10.0"/>
      <color rgb="FF333333"/>
      <name val="Arial"/>
    </font>
    <font>
      <b/>
      <sz val="10.0"/>
      <color rgb="FF333333"/>
      <name val="Arial"/>
    </font>
    <font>
      <b/>
      <color theme="1"/>
      <name val="Calibri"/>
    </font>
    <font>
      <b/>
      <sz val="13.0"/>
      <color theme="1"/>
      <name val="Calibri"/>
    </font>
    <font>
      <color theme="1"/>
      <name val="Calibri"/>
      <scheme val="minor"/>
    </font>
    <font>
      <b/>
      <color theme="1"/>
      <name val="Comic Sans MS"/>
    </font>
    <font>
      <sz val="16.0"/>
      <color theme="1"/>
      <name val="Calibri"/>
    </font>
    <font>
      <b/>
      <sz val="12.0"/>
      <color rgb="FF000000"/>
      <name val="Calibri"/>
    </font>
    <font>
      <b/>
      <color rgb="FF000000"/>
      <name val="Calibri"/>
    </font>
    <font>
      <color rgb="FF000000"/>
      <name val="Calibri"/>
      <scheme val="minor"/>
    </font>
    <font>
      <color rgb="FF000000"/>
      <name val="Calibri"/>
    </font>
    <font>
      <sz val="16.0"/>
      <color rgb="FF000000"/>
      <name val="Calibri"/>
    </font>
    <font>
      <sz val="12.0"/>
      <color theme="1"/>
      <name val="Comic Sans MS"/>
    </font>
    <font>
      <sz val="12.0"/>
      <color theme="1"/>
      <name val="Roboto"/>
    </font>
    <font>
      <b/>
      <sz val="12.0"/>
      <color theme="1"/>
      <name val="Comic Sans MS"/>
    </font>
    <font>
      <u/>
      <sz val="12.0"/>
      <color rgb="FF0248C2"/>
      <name val="Source Sans Pro"/>
    </font>
    <font>
      <u/>
      <sz val="12.0"/>
      <color rgb="FF0248C2"/>
      <name val="Source Sans Pro"/>
    </font>
    <font>
      <b/>
      <sz val="12.0"/>
      <color rgb="FF000000"/>
      <name val="Roboto"/>
    </font>
    <font>
      <sz val="12.0"/>
      <color rgb="FF000000"/>
      <name val="Roboto"/>
    </font>
    <font>
      <u/>
      <sz val="12.0"/>
      <color rgb="FF0248C2"/>
      <name val="Source Sans Pro"/>
    </font>
    <font>
      <sz val="13.0"/>
      <color rgb="FF434343"/>
      <name val="Calibri"/>
      <scheme val="minor"/>
    </font>
    <font>
      <sz val="13.0"/>
      <color theme="1"/>
      <name val="Calibri"/>
    </font>
    <font>
      <sz val="13.0"/>
      <color rgb="FF434343"/>
      <name val="Calibri"/>
    </font>
    <font>
      <sz val="11.0"/>
      <color rgb="FF202124"/>
      <name val="Roboto"/>
    </font>
    <font>
      <sz val="11.0"/>
      <color theme="1"/>
      <name val="Arial"/>
    </font>
    <font>
      <sz val="11.0"/>
      <color rgb="FF000000"/>
      <name val="Arial"/>
    </font>
    <font>
      <sz val="9.0"/>
      <color rgb="FF1F1F1F"/>
      <name val="Arial"/>
    </font>
  </fonts>
  <fills count="1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CCCCCC"/>
        <bgColor rgb="FFCCCCCC"/>
      </patternFill>
    </fill>
    <fill>
      <patternFill patternType="solid">
        <fgColor rgb="FFB7B7B7"/>
        <bgColor rgb="FFB7B7B7"/>
      </patternFill>
    </fill>
    <fill>
      <patternFill patternType="solid">
        <fgColor rgb="FFEFEFEF"/>
        <bgColor rgb="FFEFEFEF"/>
      </patternFill>
    </fill>
    <fill>
      <patternFill patternType="solid">
        <fgColor rgb="FFFCE5CD"/>
        <bgColor rgb="FFFCE5CD"/>
      </patternFill>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
      <patternFill patternType="solid">
        <fgColor rgb="FFCFE2F3"/>
        <bgColor rgb="FFCFE2F3"/>
      </patternFill>
    </fill>
  </fills>
  <borders count="55">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top style="thin">
        <color rgb="FF000000"/>
      </top>
    </border>
    <border>
      <right style="thin">
        <color rgb="FF000000"/>
      </right>
      <top style="thin">
        <color rgb="FF000000"/>
      </top>
    </border>
    <border>
      <left style="medium">
        <color rgb="FF000000"/>
      </left>
    </border>
    <border>
      <right style="medium">
        <color rgb="FF000000"/>
      </right>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medium">
        <color rgb="FFFFFFFF"/>
      </right>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bottom style="thin">
        <color rgb="FF000000"/>
      </bottom>
    </border>
    <border>
      <left style="medium">
        <color rgb="FF000000"/>
      </left>
      <right style="thin">
        <color rgb="FF000000"/>
      </righ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left style="thin">
        <color rgb="FF000000"/>
      </lef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ttom style="thin">
        <color rgb="FF000000"/>
      </bottom>
    </border>
    <border>
      <right style="medium">
        <color rgb="FFFFFFFF"/>
      </right>
      <bottom style="thin">
        <color rgb="FF000000"/>
      </bottom>
    </border>
    <border>
      <right style="medium">
        <color rgb="FFFFFFFF"/>
      </right>
      <top style="thin">
        <color rgb="FF000000"/>
      </top>
      <bottom style="thin">
        <color rgb="FF000000"/>
      </bottom>
    </border>
    <border>
      <right style="medium">
        <color rgb="FFFFFFFF"/>
      </right>
      <top style="thin">
        <color rgb="FF000000"/>
      </top>
      <bottom style="medium">
        <color rgb="FF000000"/>
      </bottom>
    </border>
    <border>
      <left style="thin">
        <color rgb="FF000000"/>
      </left>
      <top style="thin">
        <color rgb="FF000000"/>
      </top>
    </border>
    <border>
      <left style="thin">
        <color rgb="FF000000"/>
      </left>
    </border>
    <border>
      <right style="thin">
        <color rgb="FF000000"/>
      </right>
    </border>
  </borders>
  <cellStyleXfs count="1">
    <xf borderId="0" fillId="0" fontId="0" numFmtId="0" applyAlignment="1" applyFont="1"/>
  </cellStyleXfs>
  <cellXfs count="281">
    <xf borderId="0" fillId="0" fontId="0" numFmtId="0" xfId="0" applyAlignment="1" applyFont="1">
      <alignment readingOrder="0" shrinkToFit="0" vertical="center" wrapText="0"/>
    </xf>
    <xf borderId="0" fillId="0" fontId="1" numFmtId="0" xfId="0" applyAlignment="1" applyFont="1">
      <alignment horizontal="center" vertical="bottom"/>
    </xf>
    <xf borderId="0" fillId="2" fontId="2" numFmtId="0" xfId="0" applyAlignment="1" applyFill="1" applyFont="1">
      <alignment readingOrder="0" vertical="top"/>
    </xf>
    <xf borderId="0" fillId="0" fontId="3" numFmtId="0" xfId="0" applyAlignment="1" applyFont="1">
      <alignment vertical="center"/>
    </xf>
    <xf borderId="0" fillId="0" fontId="4" numFmtId="0" xfId="0" applyAlignment="1" applyFont="1">
      <alignment readingOrder="0" vertical="top"/>
    </xf>
    <xf borderId="0" fillId="2" fontId="4" numFmtId="0" xfId="0" applyAlignment="1" applyFont="1">
      <alignment horizontal="left" readingOrder="0" vertical="center"/>
    </xf>
    <xf borderId="0" fillId="2" fontId="5" numFmtId="0" xfId="0" applyAlignment="1" applyFont="1">
      <alignment horizontal="center" vertical="center"/>
    </xf>
    <xf borderId="0" fillId="2" fontId="5" numFmtId="0" xfId="0" applyAlignment="1" applyFont="1">
      <alignment horizontal="center" shrinkToFit="0" vertical="center" wrapText="1"/>
    </xf>
    <xf borderId="0" fillId="2" fontId="6" numFmtId="0" xfId="0" applyAlignment="1" applyFont="1">
      <alignment horizontal="left" vertical="center"/>
    </xf>
    <xf borderId="0" fillId="0" fontId="7" numFmtId="164" xfId="0" applyAlignment="1" applyFont="1" applyNumberFormat="1">
      <alignment horizontal="center" vertical="center"/>
    </xf>
    <xf borderId="0" fillId="0" fontId="7" numFmtId="164" xfId="0" applyAlignment="1" applyFont="1" applyNumberFormat="1">
      <alignment horizontal="center" shrinkToFit="0" vertical="center" wrapText="1"/>
    </xf>
    <xf borderId="0" fillId="0" fontId="8" numFmtId="0" xfId="0" applyAlignment="1" applyFont="1">
      <alignment shrinkToFit="0" vertical="center" wrapText="1"/>
    </xf>
    <xf borderId="1" fillId="0" fontId="7" numFmtId="164" xfId="0" applyAlignment="1" applyBorder="1" applyFont="1" applyNumberFormat="1">
      <alignment horizontal="center" vertical="center"/>
    </xf>
    <xf borderId="2" fillId="0" fontId="9" numFmtId="0" xfId="0" applyAlignment="1" applyBorder="1" applyFont="1">
      <alignment vertical="center"/>
    </xf>
    <xf borderId="3" fillId="0" fontId="9" numFmtId="0" xfId="0" applyAlignment="1" applyBorder="1" applyFont="1">
      <alignment vertical="center"/>
    </xf>
    <xf borderId="1" fillId="2" fontId="10" numFmtId="0" xfId="0" applyAlignment="1" applyBorder="1" applyFont="1">
      <alignment horizontal="left" shrinkToFit="0" vertical="center" wrapText="1"/>
    </xf>
    <xf borderId="0" fillId="0" fontId="11" numFmtId="0" xfId="0" applyAlignment="1" applyFont="1">
      <alignment vertical="center"/>
    </xf>
    <xf borderId="4" fillId="0" fontId="9" numFmtId="0" xfId="0" applyAlignment="1" applyBorder="1" applyFont="1">
      <alignment vertical="center"/>
    </xf>
    <xf borderId="5" fillId="0" fontId="9" numFmtId="0" xfId="0" applyAlignment="1" applyBorder="1" applyFont="1">
      <alignment vertical="center"/>
    </xf>
    <xf borderId="6" fillId="0" fontId="9" numFmtId="0" xfId="0" applyAlignment="1" applyBorder="1" applyFont="1">
      <alignment vertical="center"/>
    </xf>
    <xf borderId="4" fillId="3" fontId="5" numFmtId="0" xfId="0" applyAlignment="1" applyBorder="1" applyFill="1" applyFont="1">
      <alignment horizontal="center" readingOrder="0" vertical="center"/>
    </xf>
    <xf borderId="7" fillId="2" fontId="5" numFmtId="0" xfId="0" applyAlignment="1" applyBorder="1" applyFont="1">
      <alignment horizontal="center" readingOrder="0" vertical="center"/>
    </xf>
    <xf borderId="8" fillId="0" fontId="9" numFmtId="0" xfId="0" applyAlignment="1" applyBorder="1" applyFont="1">
      <alignment vertical="center"/>
    </xf>
    <xf borderId="9" fillId="0" fontId="9" numFmtId="0" xfId="0" applyAlignment="1" applyBorder="1" applyFont="1">
      <alignment vertical="center"/>
    </xf>
    <xf borderId="1" fillId="4" fontId="4" numFmtId="0" xfId="0" applyAlignment="1" applyBorder="1" applyFill="1" applyFont="1">
      <alignment horizontal="center" vertical="center"/>
    </xf>
    <xf borderId="7" fillId="4" fontId="4" numFmtId="0" xfId="0" applyAlignment="1" applyBorder="1" applyFont="1">
      <alignment horizontal="center" vertical="center"/>
    </xf>
    <xf borderId="7" fillId="4" fontId="4" numFmtId="0" xfId="0" applyAlignment="1" applyBorder="1" applyFont="1">
      <alignment shrinkToFit="0" vertical="center" wrapText="1"/>
    </xf>
    <xf borderId="10" fillId="4" fontId="4" numFmtId="0" xfId="0" applyAlignment="1" applyBorder="1" applyFont="1">
      <alignment horizontal="left" vertical="center"/>
    </xf>
    <xf borderId="10" fillId="0" fontId="4" numFmtId="20" xfId="0" applyAlignment="1" applyBorder="1" applyFont="1" applyNumberFormat="1">
      <alignment horizontal="center" vertical="center"/>
    </xf>
    <xf borderId="10" fillId="0" fontId="4" numFmtId="165" xfId="0" applyAlignment="1" applyBorder="1" applyFont="1" applyNumberFormat="1">
      <alignment horizontal="center" vertical="center"/>
    </xf>
    <xf borderId="8" fillId="0" fontId="4" numFmtId="0" xfId="0" applyAlignment="1" applyBorder="1" applyFont="1">
      <alignment vertical="center"/>
    </xf>
    <xf borderId="7" fillId="3" fontId="4" numFmtId="0" xfId="0" applyAlignment="1" applyBorder="1" applyFont="1">
      <alignment shrinkToFit="0" vertical="center" wrapText="1"/>
    </xf>
    <xf borderId="10" fillId="0" fontId="4" numFmtId="166" xfId="0" applyAlignment="1" applyBorder="1" applyFont="1" applyNumberFormat="1">
      <alignment horizontal="left" vertical="center"/>
    </xf>
    <xf borderId="7" fillId="3" fontId="2" numFmtId="0" xfId="0" applyAlignment="1" applyBorder="1" applyFont="1">
      <alignment shrinkToFit="0" vertical="center" wrapText="1"/>
    </xf>
    <xf borderId="10" fillId="0" fontId="12" numFmtId="20" xfId="0" applyAlignment="1" applyBorder="1" applyFont="1" applyNumberFormat="1">
      <alignment horizontal="center" vertical="center"/>
    </xf>
    <xf borderId="10" fillId="0" fontId="12" numFmtId="165" xfId="0" applyAlignment="1" applyBorder="1" applyFont="1" applyNumberFormat="1">
      <alignment horizontal="center" vertical="center"/>
    </xf>
    <xf borderId="8" fillId="0" fontId="12" numFmtId="0" xfId="0" applyAlignment="1" applyBorder="1" applyFont="1">
      <alignment readingOrder="0" vertical="center"/>
    </xf>
    <xf borderId="7" fillId="3" fontId="12" numFmtId="0" xfId="0" applyAlignment="1" applyBorder="1" applyFont="1">
      <alignment readingOrder="0" shrinkToFit="0" vertical="center" wrapText="1"/>
    </xf>
    <xf borderId="10" fillId="0" fontId="12" numFmtId="166" xfId="0" applyAlignment="1" applyBorder="1" applyFont="1" applyNumberFormat="1">
      <alignment horizontal="left" vertical="center"/>
    </xf>
    <xf borderId="0" fillId="0" fontId="13" numFmtId="0" xfId="0" applyAlignment="1" applyFont="1">
      <alignment vertical="center"/>
    </xf>
    <xf borderId="0" fillId="0" fontId="14" numFmtId="0" xfId="0" applyAlignment="1" applyFont="1">
      <alignment vertical="center"/>
    </xf>
    <xf borderId="2" fillId="0" fontId="4" numFmtId="0" xfId="0" applyAlignment="1" applyBorder="1" applyFont="1">
      <alignment vertical="center"/>
    </xf>
    <xf borderId="10" fillId="3" fontId="12" numFmtId="0" xfId="0" applyAlignment="1" applyBorder="1" applyFont="1">
      <alignment readingOrder="0" shrinkToFit="0" vertical="center" wrapText="1"/>
    </xf>
    <xf borderId="10" fillId="3" fontId="4" numFmtId="167" xfId="0" applyAlignment="1" applyBorder="1" applyFont="1" applyNumberFormat="1">
      <alignment vertical="center"/>
    </xf>
    <xf borderId="11" fillId="0" fontId="4" numFmtId="20" xfId="0" applyAlignment="1" applyBorder="1" applyFont="1" applyNumberFormat="1">
      <alignment horizontal="center" vertical="center"/>
    </xf>
    <xf borderId="7" fillId="0" fontId="4" numFmtId="165" xfId="0" applyAlignment="1" applyBorder="1" applyFont="1" applyNumberFormat="1">
      <alignment horizontal="center" vertical="center"/>
    </xf>
    <xf borderId="7" fillId="0" fontId="12" numFmtId="0" xfId="0" applyAlignment="1" applyBorder="1" applyFont="1">
      <alignment shrinkToFit="0" vertical="center" wrapText="1"/>
    </xf>
    <xf borderId="9" fillId="3" fontId="12" numFmtId="0" xfId="0" applyAlignment="1" applyBorder="1" applyFont="1">
      <alignment shrinkToFit="0" vertical="center" wrapText="1"/>
    </xf>
    <xf borderId="10" fillId="0" fontId="4" numFmtId="0" xfId="0" applyAlignment="1" applyBorder="1" applyFont="1">
      <alignment horizontal="left" vertical="center"/>
    </xf>
    <xf borderId="12" fillId="0" fontId="9" numFmtId="0" xfId="0" applyAlignment="1" applyBorder="1" applyFont="1">
      <alignment vertical="center"/>
    </xf>
    <xf borderId="7" fillId="0" fontId="4" numFmtId="0" xfId="0" applyAlignment="1" applyBorder="1" applyFont="1">
      <alignment shrinkToFit="0" vertical="center" wrapText="1"/>
    </xf>
    <xf borderId="8" fillId="0" fontId="4" numFmtId="167" xfId="0" applyAlignment="1" applyBorder="1" applyFont="1" applyNumberFormat="1">
      <alignment horizontal="left" shrinkToFit="0" vertical="center" wrapText="1"/>
    </xf>
    <xf borderId="13" fillId="0" fontId="9" numFmtId="0" xfId="0" applyAlignment="1" applyBorder="1" applyFont="1">
      <alignment vertical="center"/>
    </xf>
    <xf borderId="10" fillId="0" fontId="4" numFmtId="165" xfId="0" applyAlignment="1" applyBorder="1" applyFont="1" applyNumberFormat="1">
      <alignment horizontal="center" readingOrder="0" vertical="center"/>
    </xf>
    <xf borderId="5" fillId="0" fontId="4" numFmtId="0" xfId="0" applyAlignment="1" applyBorder="1" applyFont="1">
      <alignment horizontal="left" readingOrder="0" shrinkToFit="0" vertical="center" wrapText="1"/>
    </xf>
    <xf borderId="11" fillId="0" fontId="4" numFmtId="165" xfId="0" applyAlignment="1" applyBorder="1" applyFont="1" applyNumberFormat="1">
      <alignment horizontal="center" vertical="center"/>
    </xf>
    <xf borderId="2" fillId="0" fontId="12" numFmtId="0" xfId="0" applyAlignment="1" applyBorder="1" applyFont="1">
      <alignment vertical="center"/>
    </xf>
    <xf borderId="1" fillId="3" fontId="4" numFmtId="167" xfId="0" applyAlignment="1" applyBorder="1" applyFont="1" applyNumberFormat="1">
      <alignment shrinkToFit="0" vertical="center" wrapText="1"/>
    </xf>
    <xf borderId="11" fillId="0" fontId="4" numFmtId="20" xfId="0" applyAlignment="1" applyBorder="1" applyFont="1" applyNumberFormat="1">
      <alignment horizontal="center" shrinkToFit="0" vertical="center" wrapText="1"/>
    </xf>
    <xf borderId="1" fillId="0" fontId="4" numFmtId="20" xfId="0" applyAlignment="1" applyBorder="1" applyFont="1" applyNumberFormat="1">
      <alignment horizontal="center" vertical="center"/>
    </xf>
    <xf borderId="11" fillId="0" fontId="4" numFmtId="0" xfId="0" applyAlignment="1" applyBorder="1" applyFont="1">
      <alignment horizontal="center" vertical="center"/>
    </xf>
    <xf borderId="2" fillId="3" fontId="12" numFmtId="0" xfId="0" applyAlignment="1" applyBorder="1" applyFont="1">
      <alignment horizontal="left" readingOrder="0" vertical="center"/>
    </xf>
    <xf borderId="2" fillId="3" fontId="4" numFmtId="0" xfId="0" applyAlignment="1" applyBorder="1" applyFont="1">
      <alignment horizontal="left" readingOrder="0" vertical="center"/>
    </xf>
    <xf borderId="1" fillId="3" fontId="2" numFmtId="167" xfId="0" applyAlignment="1" applyBorder="1" applyFont="1" applyNumberFormat="1">
      <alignment horizontal="left" shrinkToFit="0" vertical="center" wrapText="1"/>
    </xf>
    <xf borderId="3" fillId="0" fontId="4" numFmtId="0" xfId="0" applyAlignment="1" applyBorder="1" applyFont="1">
      <alignment horizontal="left" vertical="center"/>
    </xf>
    <xf borderId="14" fillId="0" fontId="15" numFmtId="0" xfId="0" applyAlignment="1" applyBorder="1" applyFont="1">
      <alignment horizontal="left" readingOrder="0" shrinkToFit="1" vertical="center" wrapText="0"/>
    </xf>
    <xf borderId="14" fillId="0" fontId="9" numFmtId="0" xfId="0" applyAlignment="1" applyBorder="1" applyFont="1">
      <alignment vertical="center"/>
    </xf>
    <xf borderId="15" fillId="0" fontId="9" numFmtId="0" xfId="0" applyAlignment="1" applyBorder="1" applyFont="1">
      <alignment vertical="center"/>
    </xf>
    <xf borderId="12" fillId="0" fontId="4" numFmtId="0" xfId="0" applyAlignment="1" applyBorder="1" applyFont="1">
      <alignment horizontal="center" vertical="center"/>
    </xf>
    <xf borderId="1" fillId="3" fontId="12" numFmtId="0" xfId="0" applyAlignment="1" applyBorder="1" applyFont="1">
      <alignment horizontal="left" readingOrder="0" vertical="center"/>
    </xf>
    <xf borderId="16" fillId="3" fontId="2" numFmtId="167" xfId="0" applyAlignment="1" applyBorder="1" applyFont="1" applyNumberFormat="1">
      <alignment horizontal="left" shrinkToFit="0" vertical="center" wrapText="1"/>
    </xf>
    <xf borderId="17" fillId="0" fontId="9" numFmtId="0" xfId="0" applyAlignment="1" applyBorder="1" applyFont="1">
      <alignment vertical="center"/>
    </xf>
    <xf borderId="11" fillId="0" fontId="4" numFmtId="0" xfId="0" applyAlignment="1" applyBorder="1" applyFont="1">
      <alignment horizontal="left" vertical="center"/>
    </xf>
    <xf borderId="18" fillId="0" fontId="15" numFmtId="0" xfId="0" applyAlignment="1" applyBorder="1" applyFont="1">
      <alignment horizontal="left" readingOrder="0" shrinkToFit="1" vertical="center" wrapText="0"/>
    </xf>
    <xf borderId="19" fillId="0" fontId="9" numFmtId="0" xfId="0" applyAlignment="1" applyBorder="1" applyFont="1">
      <alignment vertical="center"/>
    </xf>
    <xf borderId="20" fillId="0" fontId="9" numFmtId="0" xfId="0" applyAlignment="1" applyBorder="1" applyFont="1">
      <alignment vertical="center"/>
    </xf>
    <xf borderId="11" fillId="0" fontId="16" numFmtId="20" xfId="0" applyAlignment="1" applyBorder="1" applyFont="1" applyNumberFormat="1">
      <alignment horizontal="center" vertical="center"/>
    </xf>
    <xf borderId="1" fillId="0" fontId="4" numFmtId="0" xfId="0" applyAlignment="1" applyBorder="1" applyFont="1">
      <alignment horizontal="center" vertical="center"/>
    </xf>
    <xf borderId="21" fillId="3" fontId="12" numFmtId="0" xfId="0" applyAlignment="1" applyBorder="1" applyFont="1">
      <alignment horizontal="left" readingOrder="0" vertical="center"/>
    </xf>
    <xf borderId="5" fillId="3" fontId="4" numFmtId="0" xfId="0" applyAlignment="1" applyBorder="1" applyFont="1">
      <alignment horizontal="left" readingOrder="0" vertical="center"/>
    </xf>
    <xf borderId="2" fillId="3" fontId="4" numFmtId="167" xfId="0" applyAlignment="1" applyBorder="1" applyFont="1" applyNumberFormat="1">
      <alignment horizontal="left" shrinkToFit="0" vertical="center" wrapText="1"/>
    </xf>
    <xf borderId="0" fillId="0" fontId="17" numFmtId="0" xfId="0" applyAlignment="1" applyFont="1">
      <alignment vertical="center"/>
    </xf>
    <xf borderId="0" fillId="0" fontId="18" numFmtId="0" xfId="0" applyAlignment="1" applyFont="1">
      <alignment vertical="center"/>
    </xf>
    <xf borderId="7" fillId="0" fontId="12" numFmtId="0" xfId="0" applyAlignment="1" applyBorder="1" applyFont="1">
      <alignment horizontal="left" readingOrder="0" shrinkToFit="1" vertical="center" wrapText="0"/>
    </xf>
    <xf borderId="10" fillId="2" fontId="4" numFmtId="20" xfId="0" applyAlignment="1" applyBorder="1" applyFont="1" applyNumberFormat="1">
      <alignment horizontal="center" vertical="center"/>
    </xf>
    <xf borderId="10" fillId="2" fontId="4" numFmtId="165" xfId="0" applyAlignment="1" applyBorder="1" applyFont="1" applyNumberFormat="1">
      <alignment horizontal="center" vertical="center"/>
    </xf>
    <xf borderId="5" fillId="0" fontId="15" numFmtId="0" xfId="0" applyAlignment="1" applyBorder="1" applyFont="1">
      <alignment vertical="center"/>
    </xf>
    <xf borderId="7" fillId="0" fontId="4" numFmtId="0" xfId="0" applyAlignment="1" applyBorder="1" applyFont="1">
      <alignment horizontal="left" shrinkToFit="0" vertical="center" wrapText="1"/>
    </xf>
    <xf borderId="10" fillId="0" fontId="2" numFmtId="0" xfId="0" applyAlignment="1" applyBorder="1" applyFont="1">
      <alignment horizontal="left" vertical="center"/>
    </xf>
    <xf borderId="10" fillId="5" fontId="4" numFmtId="20" xfId="0" applyAlignment="1" applyBorder="1" applyFill="1" applyFont="1" applyNumberFormat="1">
      <alignment horizontal="center" vertical="center"/>
    </xf>
    <xf borderId="10" fillId="4" fontId="4" numFmtId="20" xfId="0" applyAlignment="1" applyBorder="1" applyFont="1" applyNumberFormat="1">
      <alignment horizontal="center" vertical="center"/>
    </xf>
    <xf borderId="13" fillId="5" fontId="4" numFmtId="165" xfId="0" applyAlignment="1" applyBorder="1" applyFont="1" applyNumberFormat="1">
      <alignment horizontal="center" vertical="center"/>
    </xf>
    <xf borderId="8" fillId="5" fontId="15" numFmtId="0" xfId="0" applyAlignment="1" applyBorder="1" applyFont="1">
      <alignment vertical="center"/>
    </xf>
    <xf borderId="7" fillId="5" fontId="4" numFmtId="167" xfId="0" applyAlignment="1" applyBorder="1" applyFont="1" applyNumberFormat="1">
      <alignment horizontal="left" shrinkToFit="0" vertical="center" wrapText="1"/>
    </xf>
    <xf borderId="10" fillId="5" fontId="4" numFmtId="0" xfId="0" applyAlignment="1" applyBorder="1" applyFont="1">
      <alignment horizontal="left" vertical="center"/>
    </xf>
    <xf borderId="8" fillId="0" fontId="12" numFmtId="0" xfId="0" applyAlignment="1" applyBorder="1" applyFont="1">
      <alignment horizontal="left" readingOrder="0" vertical="center"/>
    </xf>
    <xf borderId="7" fillId="3" fontId="2" numFmtId="167" xfId="0" applyAlignment="1" applyBorder="1" applyFont="1" applyNumberFormat="1">
      <alignment horizontal="left" shrinkToFit="0" vertical="center" wrapText="1"/>
    </xf>
    <xf borderId="8" fillId="0" fontId="12" numFmtId="0" xfId="0" applyAlignment="1" applyBorder="1" applyFont="1">
      <alignment vertical="center"/>
    </xf>
    <xf borderId="10" fillId="0" fontId="4" numFmtId="0" xfId="0" applyAlignment="1" applyBorder="1" applyFont="1">
      <alignment horizontal="center" vertical="center"/>
    </xf>
    <xf borderId="8" fillId="0" fontId="4" numFmtId="0" xfId="0" applyAlignment="1" applyBorder="1" applyFont="1">
      <alignment horizontal="left" vertical="center"/>
    </xf>
    <xf borderId="7" fillId="0" fontId="4" numFmtId="167" xfId="0" applyAlignment="1" applyBorder="1" applyFont="1" applyNumberFormat="1">
      <alignment horizontal="left" shrinkToFit="0" vertical="center" wrapText="1"/>
    </xf>
    <xf borderId="9" fillId="0" fontId="2" numFmtId="20" xfId="0" applyAlignment="1" applyBorder="1" applyFont="1" applyNumberFormat="1">
      <alignment horizontal="center" vertical="center"/>
    </xf>
    <xf borderId="9" fillId="0" fontId="2" numFmtId="165" xfId="0" applyAlignment="1" applyBorder="1" applyFont="1" applyNumberFormat="1">
      <alignment horizontal="center" vertical="center"/>
    </xf>
    <xf borderId="5" fillId="0" fontId="12" numFmtId="0" xfId="0" applyAlignment="1" applyBorder="1" applyFont="1">
      <alignment horizontal="left" vertical="center"/>
    </xf>
    <xf borderId="6" fillId="0" fontId="2" numFmtId="20" xfId="0" applyAlignment="1" applyBorder="1" applyFont="1" applyNumberFormat="1">
      <alignment horizontal="center" vertical="center"/>
    </xf>
    <xf borderId="6" fillId="0" fontId="2" numFmtId="165" xfId="0" applyAlignment="1" applyBorder="1" applyFont="1" applyNumberFormat="1">
      <alignment horizontal="center" vertical="center"/>
    </xf>
    <xf borderId="6" fillId="0" fontId="15" numFmtId="165" xfId="0" applyAlignment="1" applyBorder="1" applyFont="1" applyNumberFormat="1">
      <alignment horizontal="center" vertical="center"/>
    </xf>
    <xf borderId="10" fillId="0" fontId="12" numFmtId="0" xfId="0" applyAlignment="1" applyBorder="1" applyFont="1">
      <alignment horizontal="left" vertical="center"/>
    </xf>
    <xf borderId="6" fillId="0" fontId="2" numFmtId="165" xfId="0" applyAlignment="1" applyBorder="1" applyFont="1" applyNumberFormat="1">
      <alignment horizontal="center" readingOrder="0" vertical="center"/>
    </xf>
    <xf borderId="11" fillId="3" fontId="12" numFmtId="0" xfId="0" applyAlignment="1" applyBorder="1" applyFont="1">
      <alignment readingOrder="0" shrinkToFit="0" vertical="center" wrapText="1"/>
    </xf>
    <xf borderId="11" fillId="3" fontId="4" numFmtId="167" xfId="0" applyAlignment="1" applyBorder="1" applyFont="1" applyNumberFormat="1">
      <alignment vertical="center"/>
    </xf>
    <xf borderId="10" fillId="0" fontId="2" numFmtId="20" xfId="0" applyAlignment="1" applyBorder="1" applyFont="1" applyNumberFormat="1">
      <alignment horizontal="center" readingOrder="0" vertical="center"/>
    </xf>
    <xf borderId="10" fillId="6" fontId="12" numFmtId="0" xfId="0" applyAlignment="1" applyBorder="1" applyFill="1" applyFont="1">
      <alignment shrinkToFit="0" vertical="center" wrapText="1"/>
    </xf>
    <xf borderId="7" fillId="6" fontId="12" numFmtId="0" xfId="0" applyAlignment="1" applyBorder="1" applyFont="1">
      <alignment horizontal="center" vertical="center"/>
    </xf>
    <xf borderId="10" fillId="6" fontId="12" numFmtId="0" xfId="0" applyAlignment="1" applyBorder="1" applyFont="1">
      <alignment horizontal="left" vertical="center"/>
    </xf>
    <xf borderId="22" fillId="0" fontId="3" numFmtId="0" xfId="0" applyAlignment="1" applyBorder="1" applyFont="1">
      <alignment horizontal="center" readingOrder="0" vertical="center"/>
    </xf>
    <xf borderId="23" fillId="0" fontId="2" numFmtId="0" xfId="0" applyAlignment="1" applyBorder="1" applyFont="1">
      <alignment horizontal="left" vertical="center"/>
    </xf>
    <xf borderId="24" fillId="0" fontId="9" numFmtId="0" xfId="0" applyAlignment="1" applyBorder="1" applyFont="1">
      <alignment vertical="center"/>
    </xf>
    <xf borderId="25" fillId="0" fontId="9" numFmtId="0" xfId="0" applyAlignment="1" applyBorder="1" applyFont="1">
      <alignment vertical="center"/>
    </xf>
    <xf borderId="26" fillId="0" fontId="4" numFmtId="0" xfId="0" applyAlignment="1" applyBorder="1" applyFont="1">
      <alignment horizontal="left" shrinkToFit="0" vertical="center" wrapText="1"/>
    </xf>
    <xf borderId="27" fillId="0" fontId="9" numFmtId="0" xfId="0" applyAlignment="1" applyBorder="1" applyFont="1">
      <alignment vertical="center"/>
    </xf>
    <xf borderId="28" fillId="0" fontId="3" numFmtId="0" xfId="0" applyAlignment="1" applyBorder="1" applyFont="1">
      <alignment vertical="center"/>
    </xf>
    <xf borderId="29" fillId="0" fontId="12" numFmtId="0" xfId="0" applyAlignment="1" applyBorder="1" applyFont="1">
      <alignment horizontal="left" vertical="center"/>
    </xf>
    <xf borderId="30" fillId="0" fontId="12" numFmtId="0" xfId="0" applyAlignment="1" applyBorder="1" applyFont="1">
      <alignment shrinkToFit="0" vertical="center" wrapText="1"/>
    </xf>
    <xf borderId="26" fillId="0" fontId="2" numFmtId="0" xfId="0" applyAlignment="1" applyBorder="1" applyFont="1">
      <alignment horizontal="left" vertical="center"/>
    </xf>
    <xf borderId="31" fillId="0" fontId="9" numFmtId="0" xfId="0" applyAlignment="1" applyBorder="1" applyFont="1">
      <alignment vertical="center"/>
    </xf>
    <xf borderId="32" fillId="0" fontId="12" numFmtId="0" xfId="0" applyAlignment="1" applyBorder="1" applyFont="1">
      <alignment horizontal="left" vertical="center"/>
    </xf>
    <xf borderId="26" fillId="2" fontId="19" numFmtId="0" xfId="0" applyAlignment="1" applyBorder="1" applyFont="1">
      <alignment vertical="center"/>
    </xf>
    <xf borderId="33" fillId="0" fontId="3" numFmtId="0" xfId="0" applyAlignment="1" applyBorder="1" applyFont="1">
      <alignment vertical="center"/>
    </xf>
    <xf borderId="34" fillId="0" fontId="3" numFmtId="0" xfId="0" applyAlignment="1" applyBorder="1" applyFont="1">
      <alignment horizontal="center" vertical="center"/>
    </xf>
    <xf borderId="34" fillId="0" fontId="20" numFmtId="0" xfId="0" applyAlignment="1" applyBorder="1" applyFont="1">
      <alignment horizontal="center" vertical="center"/>
    </xf>
    <xf borderId="35" fillId="0" fontId="20" numFmtId="0" xfId="0" applyAlignment="1" applyBorder="1" applyFont="1">
      <alignment horizontal="center" vertical="center"/>
    </xf>
    <xf borderId="5" fillId="0" fontId="20" numFmtId="0" xfId="0" applyAlignment="1" applyBorder="1" applyFont="1">
      <alignment horizontal="center" vertical="center"/>
    </xf>
    <xf borderId="5" fillId="0" fontId="20" numFmtId="0" xfId="0" applyAlignment="1" applyBorder="1" applyFont="1">
      <alignment horizontal="center" shrinkToFit="0" vertical="center" wrapText="1"/>
    </xf>
    <xf borderId="0" fillId="2" fontId="21" numFmtId="0" xfId="0" applyAlignment="1" applyFont="1">
      <alignment horizontal="right" shrinkToFit="0" vertical="center" wrapText="0"/>
    </xf>
    <xf borderId="1" fillId="0" fontId="22" numFmtId="0" xfId="0" applyAlignment="1" applyBorder="1" applyFont="1">
      <alignment vertical="center"/>
    </xf>
    <xf borderId="4" fillId="0" fontId="23" numFmtId="0" xfId="0" applyAlignment="1" applyBorder="1" applyFont="1">
      <alignment vertical="center"/>
    </xf>
    <xf borderId="5" fillId="0" fontId="23" numFmtId="0" xfId="0" applyAlignment="1" applyBorder="1" applyFont="1">
      <alignment horizontal="center" vertical="center"/>
    </xf>
    <xf borderId="5" fillId="0" fontId="23" numFmtId="0" xfId="0" applyAlignment="1" applyBorder="1" applyFont="1">
      <alignment vertical="center"/>
    </xf>
    <xf borderId="5" fillId="0" fontId="24" numFmtId="0" xfId="0" applyAlignment="1" applyBorder="1" applyFont="1">
      <alignment horizontal="left" vertical="center"/>
    </xf>
    <xf borderId="5" fillId="0" fontId="23" numFmtId="0" xfId="0" applyAlignment="1" applyBorder="1" applyFont="1">
      <alignment shrinkToFit="0" vertical="center" wrapText="1"/>
    </xf>
    <xf borderId="6" fillId="0" fontId="23" numFmtId="0" xfId="0" applyAlignment="1" applyBorder="1" applyFont="1">
      <alignment horizontal="center" vertical="center"/>
    </xf>
    <xf borderId="0" fillId="0" fontId="3" numFmtId="0" xfId="0" applyAlignment="1" applyFont="1">
      <alignment horizontal="center" vertical="center"/>
    </xf>
    <xf borderId="36" fillId="0" fontId="25" numFmtId="0" xfId="0" applyAlignment="1" applyBorder="1" applyFont="1">
      <alignment horizontal="center" vertical="center"/>
    </xf>
    <xf borderId="37" fillId="0" fontId="9" numFmtId="0" xfId="0" applyAlignment="1" applyBorder="1" applyFont="1">
      <alignment vertical="center"/>
    </xf>
    <xf borderId="38" fillId="0" fontId="3" numFmtId="0" xfId="0" applyAlignment="1" applyBorder="1" applyFont="1">
      <alignment horizontal="center" vertical="center"/>
    </xf>
    <xf borderId="39" fillId="0" fontId="3" numFmtId="0" xfId="0" applyAlignment="1" applyBorder="1" applyFont="1">
      <alignment horizontal="center" vertical="center"/>
    </xf>
    <xf borderId="40" fillId="0" fontId="9" numFmtId="0" xfId="0" applyAlignment="1" applyBorder="1" applyFont="1">
      <alignment vertical="center"/>
    </xf>
    <xf borderId="41" fillId="0" fontId="25" numFmtId="0" xfId="0" applyAlignment="1" applyBorder="1" applyFont="1">
      <alignment horizontal="center" vertical="center"/>
    </xf>
    <xf borderId="42" fillId="0" fontId="3" numFmtId="0" xfId="0" applyAlignment="1" applyBorder="1" applyFont="1">
      <alignment horizontal="center" vertical="center"/>
    </xf>
    <xf borderId="37" fillId="0" fontId="25" numFmtId="0" xfId="0" applyAlignment="1" applyBorder="1" applyFont="1">
      <alignment horizontal="center" shrinkToFit="0" vertical="center" wrapText="1"/>
    </xf>
    <xf borderId="0" fillId="0" fontId="2" numFmtId="0" xfId="0" applyAlignment="1" applyFont="1">
      <alignment horizontal="left" vertical="center"/>
    </xf>
    <xf borderId="0" fillId="0" fontId="3" numFmtId="164" xfId="0" applyAlignment="1" applyFont="1" applyNumberFormat="1">
      <alignment vertical="center"/>
    </xf>
    <xf borderId="43" fillId="0" fontId="25" numFmtId="0" xfId="0" applyAlignment="1" applyBorder="1" applyFont="1">
      <alignment horizontal="center" vertical="center"/>
    </xf>
    <xf borderId="31" fillId="0" fontId="3" numFmtId="0" xfId="0" applyAlignment="1" applyBorder="1" applyFont="1">
      <alignment horizontal="center" vertical="center"/>
    </xf>
    <xf borderId="26" fillId="0" fontId="3" numFmtId="0" xfId="0" applyAlignment="1" applyBorder="1" applyFont="1">
      <alignment horizontal="center" vertical="center"/>
    </xf>
    <xf borderId="32" fillId="0" fontId="9" numFmtId="0" xfId="0" applyAlignment="1" applyBorder="1" applyFont="1">
      <alignment vertical="center"/>
    </xf>
    <xf borderId="30" fillId="0" fontId="25" numFmtId="0" xfId="0" applyAlignment="1" applyBorder="1" applyFont="1">
      <alignment horizontal="center" vertical="center"/>
    </xf>
    <xf borderId="44" fillId="0" fontId="3" numFmtId="0" xfId="0" applyAlignment="1" applyBorder="1" applyFont="1">
      <alignment horizontal="center" vertical="center"/>
    </xf>
    <xf borderId="27" fillId="0" fontId="25" numFmtId="0" xfId="0" applyAlignment="1" applyBorder="1" applyFont="1">
      <alignment horizontal="center" shrinkToFit="0" vertical="center" wrapText="1"/>
    </xf>
    <xf borderId="18" fillId="0" fontId="25" numFmtId="0" xfId="0" applyAlignment="1" applyBorder="1" applyFont="1">
      <alignment horizontal="center" vertical="center"/>
    </xf>
    <xf borderId="45" fillId="0" fontId="9" numFmtId="0" xfId="0" applyAlignment="1" applyBorder="1" applyFont="1">
      <alignment vertical="center"/>
    </xf>
    <xf borderId="19" fillId="0" fontId="3" numFmtId="0" xfId="0" applyAlignment="1" applyBorder="1" applyFont="1">
      <alignment horizontal="center" vertical="center"/>
    </xf>
    <xf borderId="46" fillId="0" fontId="3" numFmtId="0" xfId="0" applyAlignment="1" applyBorder="1" applyFont="1">
      <alignment horizontal="center" vertical="center"/>
    </xf>
    <xf borderId="33" fillId="0" fontId="25" numFmtId="0" xfId="0" applyAlignment="1" applyBorder="1" applyFont="1">
      <alignment horizontal="center" vertical="center"/>
    </xf>
    <xf borderId="47" fillId="0" fontId="3" numFmtId="0" xfId="0" applyAlignment="1" applyBorder="1" applyFont="1">
      <alignment horizontal="center" vertical="center"/>
    </xf>
    <xf borderId="45" fillId="0" fontId="25" numFmtId="0" xfId="0" applyAlignment="1" applyBorder="1" applyFont="1">
      <alignment horizontal="center" shrinkToFit="0" vertical="center" wrapText="1"/>
    </xf>
    <xf borderId="0" fillId="0" fontId="26" numFmtId="0" xfId="0" applyAlignment="1" applyFont="1">
      <alignment vertical="center"/>
    </xf>
    <xf borderId="0" fillId="0" fontId="26" numFmtId="0" xfId="0" applyAlignment="1" applyFont="1">
      <alignment horizontal="center" vertical="center"/>
    </xf>
    <xf borderId="0" fillId="0" fontId="27" numFmtId="0" xfId="0" applyAlignment="1" applyFont="1">
      <alignment shrinkToFit="0" vertical="center" wrapText="1"/>
    </xf>
    <xf borderId="0" fillId="0" fontId="26" numFmtId="0" xfId="0" applyAlignment="1" applyFont="1">
      <alignment horizontal="left" readingOrder="0" vertical="center"/>
    </xf>
    <xf borderId="0" fillId="0" fontId="28" numFmtId="0" xfId="0" applyAlignment="1" applyFont="1">
      <alignment vertical="center"/>
    </xf>
    <xf borderId="0" fillId="0" fontId="25" numFmtId="0" xfId="0" applyAlignment="1" applyFont="1">
      <alignment horizontal="left" readingOrder="0" vertical="center"/>
    </xf>
    <xf borderId="0" fillId="0" fontId="25" numFmtId="0" xfId="0" applyAlignment="1" applyFont="1">
      <alignment horizontal="left" readingOrder="0" shrinkToFit="0" vertical="center" wrapText="1"/>
    </xf>
    <xf borderId="0" fillId="0" fontId="3" numFmtId="0" xfId="0" applyAlignment="1" applyFont="1">
      <alignment horizontal="left" vertical="center"/>
    </xf>
    <xf borderId="0" fillId="0" fontId="27"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4" numFmtId="0" xfId="0" applyAlignment="1" applyFont="1">
      <alignment horizontal="left" vertical="center"/>
    </xf>
    <xf borderId="0" fillId="0" fontId="29" numFmtId="0" xfId="0" applyAlignment="1" applyFont="1">
      <alignment horizontal="center" vertical="center"/>
    </xf>
    <xf borderId="0" fillId="0" fontId="29" numFmtId="0" xfId="0" applyAlignment="1" applyFont="1">
      <alignment horizontal="center" shrinkToFit="0" vertical="center" wrapText="1"/>
    </xf>
    <xf borderId="0" fillId="2" fontId="30" numFmtId="0" xfId="0" applyAlignment="1" applyFont="1">
      <alignment horizontal="left" readingOrder="0" vertical="center"/>
    </xf>
    <xf borderId="0" fillId="0" fontId="11" numFmtId="0" xfId="0" applyAlignment="1" applyFont="1">
      <alignment horizontal="left" vertical="center"/>
    </xf>
    <xf borderId="0" fillId="0" fontId="3" numFmtId="0" xfId="0" applyAlignment="1" applyFont="1">
      <alignment horizontal="left" readingOrder="0" vertical="center"/>
    </xf>
    <xf borderId="0" fillId="0" fontId="31" numFmtId="0" xfId="0" applyAlignment="1" applyFont="1">
      <alignment horizontal="left" readingOrder="0" vertical="center"/>
    </xf>
    <xf borderId="0" fillId="0" fontId="32" numFmtId="0" xfId="0" applyAlignment="1" applyFont="1">
      <alignment vertical="center"/>
    </xf>
    <xf borderId="0" fillId="0" fontId="33" numFmtId="0" xfId="0" applyAlignment="1" applyFont="1">
      <alignment horizontal="left" readingOrder="0" vertical="center"/>
    </xf>
    <xf borderId="0" fillId="0" fontId="34" numFmtId="0" xfId="0" applyAlignment="1" applyFont="1">
      <alignment horizontal="center" vertical="center"/>
    </xf>
    <xf borderId="0" fillId="0" fontId="34" numFmtId="0" xfId="0" applyAlignment="1" applyFont="1">
      <alignment horizontal="center" shrinkToFit="0" vertical="center" wrapText="1"/>
    </xf>
    <xf borderId="0" fillId="0" fontId="4" numFmtId="0" xfId="0" applyAlignment="1" applyFont="1">
      <alignment horizontal="left" vertical="center"/>
    </xf>
    <xf borderId="0" fillId="0" fontId="6" numFmtId="0" xfId="0" applyAlignment="1" applyFont="1">
      <alignment horizontal="left" vertical="center"/>
    </xf>
    <xf borderId="36" fillId="0" fontId="29" numFmtId="0" xfId="0" applyAlignment="1" applyBorder="1" applyFont="1">
      <alignment horizontal="center" readingOrder="0" vertical="center"/>
    </xf>
    <xf borderId="38" fillId="0" fontId="9" numFmtId="0" xfId="0" applyAlignment="1" applyBorder="1" applyFont="1">
      <alignment vertical="center"/>
    </xf>
    <xf borderId="48" fillId="0" fontId="35" numFmtId="0" xfId="0" applyAlignment="1" applyBorder="1" applyFont="1">
      <alignment horizontal="center" vertical="center"/>
    </xf>
    <xf borderId="49" fillId="0" fontId="9" numFmtId="0" xfId="0" applyAlignment="1" applyBorder="1" applyFont="1">
      <alignment vertical="center"/>
    </xf>
    <xf borderId="25" fillId="0" fontId="11" numFmtId="0" xfId="0" applyAlignment="1" applyBorder="1" applyFont="1">
      <alignment vertical="center"/>
    </xf>
    <xf borderId="24" fillId="0" fontId="36" numFmtId="0" xfId="0" applyAlignment="1" applyBorder="1" applyFont="1">
      <alignment horizontal="center" vertical="center"/>
    </xf>
    <xf borderId="24" fillId="0" fontId="37" numFmtId="0" xfId="0" applyAlignment="1" applyBorder="1" applyFont="1">
      <alignment horizontal="center" vertical="center"/>
    </xf>
    <xf borderId="24" fillId="2" fontId="38" numFmtId="0" xfId="0" applyAlignment="1" applyBorder="1" applyFont="1">
      <alignment vertical="center"/>
    </xf>
    <xf borderId="29" fillId="0" fontId="9" numFmtId="0" xfId="0" applyAlignment="1" applyBorder="1" applyFont="1">
      <alignment vertical="center"/>
    </xf>
    <xf borderId="43" fillId="0" fontId="35" numFmtId="0" xfId="0" applyAlignment="1" applyBorder="1" applyFont="1">
      <alignment horizontal="center" vertical="center"/>
    </xf>
    <xf borderId="50" fillId="0" fontId="9" numFmtId="0" xfId="0" applyAlignment="1" applyBorder="1" applyFont="1">
      <alignment vertical="center"/>
    </xf>
    <xf borderId="27" fillId="0" fontId="11" numFmtId="0" xfId="0" applyAlignment="1" applyBorder="1" applyFont="1">
      <alignment vertical="center"/>
    </xf>
    <xf borderId="31" fillId="0" fontId="36" numFmtId="0" xfId="0" applyAlignment="1" applyBorder="1" applyFont="1">
      <alignment horizontal="center" vertical="center"/>
    </xf>
    <xf borderId="32" fillId="2" fontId="11" numFmtId="0" xfId="0" applyAlignment="1" applyBorder="1" applyFont="1">
      <alignment vertical="center"/>
    </xf>
    <xf borderId="43" fillId="0" fontId="35" numFmtId="0" xfId="0" applyAlignment="1" applyBorder="1" applyFont="1">
      <alignment horizontal="center" vertical="center"/>
    </xf>
    <xf borderId="27" fillId="0" fontId="11" numFmtId="0" xfId="0" applyAlignment="1" applyBorder="1" applyFont="1">
      <alignment vertical="center"/>
    </xf>
    <xf borderId="31" fillId="0" fontId="36" numFmtId="0" xfId="0" applyAlignment="1" applyBorder="1" applyFont="1">
      <alignment horizontal="center" vertical="center"/>
    </xf>
    <xf borderId="24" fillId="0" fontId="37" numFmtId="0" xfId="0" applyAlignment="1" applyBorder="1" applyFont="1">
      <alignment horizontal="center" vertical="center"/>
    </xf>
    <xf borderId="24" fillId="2" fontId="39" numFmtId="0" xfId="0" applyAlignment="1" applyBorder="1" applyFont="1">
      <alignment vertical="center"/>
    </xf>
    <xf borderId="32" fillId="2" fontId="11" numFmtId="0" xfId="0" applyAlignment="1" applyBorder="1" applyFont="1">
      <alignment vertical="center"/>
    </xf>
    <xf borderId="26" fillId="0" fontId="37" numFmtId="0" xfId="0" applyAlignment="1" applyBorder="1" applyFont="1">
      <alignment horizontal="center" vertical="center"/>
    </xf>
    <xf borderId="29" fillId="2" fontId="11" numFmtId="0" xfId="0" applyAlignment="1" applyBorder="1" applyFont="1">
      <alignment vertical="center"/>
    </xf>
    <xf borderId="0" fillId="0" fontId="40" numFmtId="0" xfId="0" applyAlignment="1" applyFont="1">
      <alignment horizontal="left" shrinkToFit="0" vertical="center" wrapText="0"/>
    </xf>
    <xf borderId="0" fillId="0" fontId="41" numFmtId="0" xfId="0" applyAlignment="1" applyFont="1">
      <alignment horizontal="center" shrinkToFit="0" vertical="center" wrapText="0"/>
    </xf>
    <xf borderId="0" fillId="0" fontId="40" numFmtId="0" xfId="0" applyAlignment="1" applyFont="1">
      <alignment horizontal="center" shrinkToFit="0" vertical="center" wrapText="0"/>
    </xf>
    <xf borderId="0" fillId="0" fontId="41" numFmtId="0" xfId="0" applyAlignment="1" applyFont="1">
      <alignment shrinkToFit="0" vertical="center" wrapText="0"/>
    </xf>
    <xf borderId="18" fillId="0" fontId="35" numFmtId="0" xfId="0" applyAlignment="1" applyBorder="1" applyFont="1">
      <alignment horizontal="center" vertical="center"/>
    </xf>
    <xf borderId="51" fillId="0" fontId="9" numFmtId="0" xfId="0" applyAlignment="1" applyBorder="1" applyFont="1">
      <alignment vertical="center"/>
    </xf>
    <xf borderId="45" fillId="0" fontId="11" numFmtId="0" xfId="0" applyAlignment="1" applyBorder="1" applyFont="1">
      <alignment vertical="center"/>
    </xf>
    <xf borderId="19" fillId="0" fontId="36" numFmtId="0" xfId="0" applyAlignment="1" applyBorder="1" applyFont="1">
      <alignment horizontal="center" vertical="center"/>
    </xf>
    <xf borderId="46" fillId="0" fontId="37" numFmtId="0" xfId="0" applyAlignment="1" applyBorder="1" applyFont="1">
      <alignment horizontal="center" vertical="center"/>
    </xf>
    <xf borderId="46" fillId="2" fontId="42" numFmtId="0" xfId="0" applyAlignment="1" applyBorder="1" applyFont="1">
      <alignment vertical="center"/>
    </xf>
    <xf borderId="20" fillId="2" fontId="11" numFmtId="0" xfId="0" applyAlignment="1" applyBorder="1" applyFont="1">
      <alignment vertical="center"/>
    </xf>
    <xf borderId="0" fillId="0" fontId="43" numFmtId="0" xfId="0" applyAlignment="1" applyFont="1">
      <alignment horizontal="center" readingOrder="0" vertical="center"/>
    </xf>
    <xf borderId="0" fillId="0" fontId="44" numFmtId="0" xfId="0" applyAlignment="1" applyFont="1">
      <alignment vertical="center"/>
    </xf>
    <xf borderId="0" fillId="0" fontId="44" numFmtId="0" xfId="0" applyAlignment="1" applyFont="1">
      <alignment shrinkToFit="0" vertical="center" wrapText="1"/>
    </xf>
    <xf borderId="0" fillId="0" fontId="45" numFmtId="0" xfId="0" applyAlignment="1" applyFont="1">
      <alignment horizontal="center" readingOrder="0" vertical="center"/>
    </xf>
    <xf borderId="7" fillId="0" fontId="26" numFmtId="0" xfId="0" applyAlignment="1" applyBorder="1" applyFont="1">
      <alignment horizontal="center" vertical="center"/>
    </xf>
    <xf borderId="10" fillId="0" fontId="26" numFmtId="0" xfId="0" applyAlignment="1" applyBorder="1" applyFont="1">
      <alignment vertical="center"/>
    </xf>
    <xf borderId="7" fillId="0" fontId="26" numFmtId="0" xfId="0" applyAlignment="1" applyBorder="1" applyFont="1">
      <alignment vertical="center"/>
    </xf>
    <xf borderId="10" fillId="0" fontId="26" numFmtId="0" xfId="0" applyAlignment="1" applyBorder="1" applyFont="1">
      <alignment horizontal="left" vertical="center"/>
    </xf>
    <xf borderId="7" fillId="0" fontId="26" numFmtId="0" xfId="0" applyAlignment="1" applyBorder="1" applyFont="1">
      <alignment shrinkToFit="0" vertical="center" wrapText="1"/>
    </xf>
    <xf borderId="7" fillId="0" fontId="26" numFmtId="0" xfId="0" applyAlignment="1" applyBorder="1" applyFont="1">
      <alignment horizontal="center" shrinkToFit="0" vertical="center" wrapText="1"/>
    </xf>
    <xf borderId="2" fillId="0" fontId="36" numFmtId="0" xfId="0" applyAlignment="1" applyBorder="1" applyFont="1">
      <alignment shrinkToFit="0" vertical="center" wrapText="0"/>
    </xf>
    <xf borderId="0" fillId="0" fontId="36" numFmtId="0" xfId="0" applyAlignment="1" applyFont="1">
      <alignment shrinkToFit="0" vertical="center" wrapText="0"/>
    </xf>
    <xf borderId="0" fillId="7" fontId="13" numFmtId="0" xfId="0" applyAlignment="1" applyFill="1" applyFont="1">
      <alignment readingOrder="0" vertical="center"/>
    </xf>
    <xf borderId="0" fillId="0" fontId="27" numFmtId="46" xfId="0" applyAlignment="1" applyFont="1" applyNumberFormat="1">
      <alignment readingOrder="0" vertical="center"/>
    </xf>
    <xf borderId="0" fillId="0" fontId="27" numFmtId="0" xfId="0" applyAlignment="1" applyFont="1">
      <alignment vertical="center"/>
    </xf>
    <xf borderId="0" fillId="8" fontId="11" numFmtId="0" xfId="0" applyAlignment="1" applyFill="1" applyFont="1">
      <alignment readingOrder="0" vertical="center"/>
    </xf>
    <xf borderId="0" fillId="9" fontId="27" numFmtId="0" xfId="0" applyAlignment="1" applyFill="1" applyFont="1">
      <alignment readingOrder="0" vertical="center"/>
    </xf>
    <xf borderId="0" fillId="8" fontId="27" numFmtId="0" xfId="0" applyAlignment="1" applyFont="1">
      <alignment readingOrder="0" vertical="center"/>
    </xf>
    <xf borderId="0" fillId="0" fontId="27" numFmtId="21" xfId="0" applyAlignment="1" applyFont="1" applyNumberFormat="1">
      <alignment readingOrder="0" vertical="center"/>
    </xf>
    <xf borderId="0" fillId="2" fontId="46" numFmtId="0" xfId="0" applyAlignment="1" applyFont="1">
      <alignment readingOrder="0" vertical="center"/>
    </xf>
    <xf borderId="0" fillId="8" fontId="46" numFmtId="0" xfId="0" applyAlignment="1" applyFont="1">
      <alignment readingOrder="0" vertical="center"/>
    </xf>
    <xf borderId="0" fillId="7" fontId="27" numFmtId="0" xfId="0" applyAlignment="1" applyFont="1">
      <alignment readingOrder="0" vertical="center"/>
    </xf>
    <xf borderId="0" fillId="10" fontId="27" numFmtId="0" xfId="0" applyAlignment="1" applyFill="1" applyFont="1">
      <alignment readingOrder="0" vertical="center"/>
    </xf>
    <xf borderId="0" fillId="0" fontId="27" numFmtId="167" xfId="0" applyAlignment="1" applyFont="1" applyNumberFormat="1">
      <alignment vertical="center"/>
    </xf>
    <xf borderId="0" fillId="11" fontId="27" numFmtId="0" xfId="0" applyAlignment="1" applyFill="1" applyFont="1">
      <alignment readingOrder="0" vertical="center"/>
    </xf>
    <xf borderId="0" fillId="11" fontId="8" numFmtId="0" xfId="0" applyAlignment="1" applyFont="1">
      <alignment readingOrder="0" shrinkToFit="0" vertical="center" wrapText="1"/>
    </xf>
    <xf borderId="0" fillId="0" fontId="27" numFmtId="164" xfId="0" applyAlignment="1" applyFont="1" applyNumberFormat="1">
      <alignment vertical="center"/>
    </xf>
    <xf borderId="0" fillId="10" fontId="6" numFmtId="0" xfId="0" applyAlignment="1" applyFont="1">
      <alignment horizontal="left" readingOrder="0" vertical="center"/>
    </xf>
    <xf borderId="0" fillId="12" fontId="27" numFmtId="0" xfId="0" applyAlignment="1" applyFill="1" applyFont="1">
      <alignment readingOrder="0" vertical="center"/>
    </xf>
    <xf borderId="0" fillId="12" fontId="27" numFmtId="0" xfId="0" applyAlignment="1" applyFont="1">
      <alignment readingOrder="0" shrinkToFit="0" vertical="center" wrapText="1"/>
    </xf>
    <xf borderId="52" fillId="0" fontId="27" numFmtId="0" xfId="0" applyAlignment="1" applyBorder="1" applyFont="1">
      <alignment readingOrder="0" vertical="center"/>
    </xf>
    <xf borderId="14" fillId="0" fontId="27" numFmtId="0" xfId="0" applyAlignment="1" applyBorder="1" applyFont="1">
      <alignment horizontal="left" readingOrder="0" vertical="center"/>
    </xf>
    <xf borderId="14" fillId="0" fontId="27" numFmtId="0" xfId="0" applyAlignment="1" applyBorder="1" applyFont="1">
      <alignment readingOrder="0" vertical="center"/>
    </xf>
    <xf borderId="15" fillId="0" fontId="27" numFmtId="0" xfId="0" applyAlignment="1" applyBorder="1" applyFont="1">
      <alignment readingOrder="0" shrinkToFit="0" vertical="center" wrapText="1"/>
    </xf>
    <xf borderId="53" fillId="0" fontId="9" numFmtId="0" xfId="0" applyAlignment="1" applyBorder="1" applyFont="1">
      <alignment vertical="center"/>
    </xf>
    <xf borderId="54" fillId="0" fontId="27" numFmtId="0" xfId="0" applyAlignment="1" applyBorder="1" applyFont="1">
      <alignment readingOrder="0" shrinkToFit="0" vertical="center" wrapText="1"/>
    </xf>
    <xf borderId="23" fillId="0" fontId="9" numFmtId="0" xfId="0" applyAlignment="1" applyBorder="1" applyFont="1">
      <alignment vertical="center"/>
    </xf>
    <xf borderId="24" fillId="0" fontId="27" numFmtId="0" xfId="0" applyAlignment="1" applyBorder="1" applyFont="1">
      <alignment readingOrder="0" vertical="center"/>
    </xf>
    <xf borderId="25" fillId="0" fontId="27" numFmtId="0" xfId="0" applyAlignment="1" applyBorder="1" applyFont="1">
      <alignment readingOrder="0" shrinkToFit="0" vertical="center" wrapText="1"/>
    </xf>
    <xf borderId="54" fillId="0" fontId="27" numFmtId="0" xfId="0" applyAlignment="1" applyBorder="1" applyFont="1">
      <alignment shrinkToFit="0" vertical="center" wrapText="1"/>
    </xf>
    <xf borderId="25" fillId="0" fontId="27" numFmtId="0" xfId="0" applyAlignment="1" applyBorder="1" applyFont="1">
      <alignment shrinkToFit="0" vertical="center" wrapText="1"/>
    </xf>
    <xf borderId="0" fillId="0" fontId="27" numFmtId="0" xfId="0" applyAlignment="1" applyFont="1">
      <alignment readingOrder="0" shrinkToFit="0" vertical="center" wrapText="1"/>
    </xf>
    <xf borderId="0" fillId="12" fontId="47" numFmtId="0" xfId="0" applyAlignment="1" applyFont="1">
      <alignment horizontal="left" readingOrder="0" vertical="center"/>
    </xf>
    <xf borderId="0" fillId="12" fontId="48" numFmtId="0" xfId="0" applyAlignment="1" applyFont="1">
      <alignment horizontal="left" readingOrder="0" vertical="center"/>
    </xf>
    <xf borderId="0" fillId="0" fontId="47" numFmtId="0" xfId="0" applyAlignment="1" applyFont="1">
      <alignment horizontal="left" readingOrder="0" vertical="center"/>
    </xf>
    <xf borderId="0" fillId="2" fontId="48" numFmtId="0" xfId="0" applyAlignment="1" applyFont="1">
      <alignment horizontal="left" readingOrder="0" vertical="center"/>
    </xf>
    <xf borderId="0" fillId="0" fontId="27" numFmtId="0" xfId="0" applyAlignment="1" applyFont="1">
      <alignment horizontal="left" readingOrder="0" vertical="center"/>
    </xf>
    <xf borderId="0" fillId="9" fontId="47" numFmtId="0" xfId="0" applyAlignment="1" applyFont="1">
      <alignment horizontal="left" readingOrder="0" vertical="center"/>
    </xf>
    <xf borderId="0" fillId="9" fontId="48" numFmtId="0" xfId="0" applyAlignment="1" applyFont="1">
      <alignment horizontal="left" readingOrder="0" vertical="center"/>
    </xf>
    <xf borderId="0" fillId="9" fontId="11" numFmtId="0" xfId="0" applyAlignment="1" applyFont="1">
      <alignment vertical="center"/>
    </xf>
    <xf borderId="0" fillId="9" fontId="11" numFmtId="0" xfId="0" applyAlignment="1" applyFont="1">
      <alignment readingOrder="0" vertical="center"/>
    </xf>
    <xf borderId="0" fillId="9" fontId="11" numFmtId="0" xfId="0" applyAlignment="1" applyFont="1">
      <alignment vertical="center"/>
    </xf>
    <xf borderId="0" fillId="0" fontId="11" numFmtId="0" xfId="0" applyAlignment="1" applyFont="1">
      <alignment vertical="center"/>
    </xf>
    <xf borderId="0" fillId="2" fontId="47" numFmtId="0" xfId="0" applyAlignment="1" applyFont="1">
      <alignment readingOrder="0" vertical="center"/>
    </xf>
    <xf borderId="0" fillId="10" fontId="11" numFmtId="0" xfId="0" applyAlignment="1" applyFont="1">
      <alignment vertical="center"/>
    </xf>
    <xf borderId="0" fillId="10" fontId="49" numFmtId="0" xfId="0" applyAlignment="1" applyFont="1">
      <alignment vertical="center"/>
    </xf>
    <xf borderId="0" fillId="9" fontId="8"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8.jpg"/><Relationship Id="rId4" Type="http://schemas.openxmlformats.org/officeDocument/2006/relationships/image" Target="../media/image10.png"/><Relationship Id="rId10" Type="http://schemas.openxmlformats.org/officeDocument/2006/relationships/image" Target="../media/image4.png"/><Relationship Id="rId9" Type="http://schemas.openxmlformats.org/officeDocument/2006/relationships/image" Target="../media/image7.png"/><Relationship Id="rId5" Type="http://schemas.openxmlformats.org/officeDocument/2006/relationships/image" Target="../media/image6.png"/><Relationship Id="rId6" Type="http://schemas.openxmlformats.org/officeDocument/2006/relationships/image" Target="../media/image2.jpg"/><Relationship Id="rId7" Type="http://schemas.openxmlformats.org/officeDocument/2006/relationships/image" Target="../media/image3.jpg"/><Relationship Id="rId8" Type="http://schemas.openxmlformats.org/officeDocument/2006/relationships/image" Target="../media/image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76200</xdr:colOff>
      <xdr:row>103</xdr:row>
      <xdr:rowOff>171450</xdr:rowOff>
    </xdr:from>
    <xdr:ext cx="514350" cy="504825"/>
    <xdr:pic>
      <xdr:nvPicPr>
        <xdr:cNvPr id="0" name="image5.png" title="圖片"/>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190500</xdr:colOff>
      <xdr:row>99</xdr:row>
      <xdr:rowOff>76200</xdr:rowOff>
    </xdr:from>
    <xdr:ext cx="295275" cy="266700"/>
    <xdr:pic>
      <xdr:nvPicPr>
        <xdr:cNvPr id="0" name="image1.png" title="圖片"/>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1209675</xdr:colOff>
      <xdr:row>0</xdr:row>
      <xdr:rowOff>0</xdr:rowOff>
    </xdr:from>
    <xdr:ext cx="1295400" cy="781050"/>
    <xdr:pic>
      <xdr:nvPicPr>
        <xdr:cNvPr id="0" name="image8.jpg" title="圖片"/>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95250</xdr:colOff>
      <xdr:row>52</xdr:row>
      <xdr:rowOff>85725</xdr:rowOff>
    </xdr:from>
    <xdr:ext cx="4933950" cy="1562100"/>
    <xdr:pic>
      <xdr:nvPicPr>
        <xdr:cNvPr id="0" name="image10.png" title="圖片"/>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57150</xdr:colOff>
      <xdr:row>0</xdr:row>
      <xdr:rowOff>47625</xdr:rowOff>
    </xdr:from>
    <xdr:ext cx="828675" cy="685800"/>
    <xdr:pic>
      <xdr:nvPicPr>
        <xdr:cNvPr id="0" name="image6.png" title="圖片"/>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2114550</xdr:colOff>
      <xdr:row>51</xdr:row>
      <xdr:rowOff>219075</xdr:rowOff>
    </xdr:from>
    <xdr:ext cx="1409700" cy="1409700"/>
    <xdr:pic>
      <xdr:nvPicPr>
        <xdr:cNvPr id="0" name="image2.jpg" title="圖片"/>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1466850</xdr:colOff>
      <xdr:row>52</xdr:row>
      <xdr:rowOff>85725</xdr:rowOff>
    </xdr:from>
    <xdr:ext cx="1228725" cy="1190625"/>
    <xdr:pic>
      <xdr:nvPicPr>
        <xdr:cNvPr id="0" name="image3.jpg" title="圖片"/>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9525</xdr:colOff>
      <xdr:row>39</xdr:row>
      <xdr:rowOff>209550</xdr:rowOff>
    </xdr:from>
    <xdr:ext cx="1228725" cy="1257300"/>
    <xdr:pic>
      <xdr:nvPicPr>
        <xdr:cNvPr id="0" name="image9.jpg" title="圖片"/>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561975</xdr:colOff>
      <xdr:row>85</xdr:row>
      <xdr:rowOff>323850</xdr:rowOff>
    </xdr:from>
    <xdr:ext cx="7858125" cy="4295775"/>
    <xdr:pic>
      <xdr:nvPicPr>
        <xdr:cNvPr id="0" name="image7.png" title="圖片"/>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400050</xdr:colOff>
      <xdr:row>52</xdr:row>
      <xdr:rowOff>85725</xdr:rowOff>
    </xdr:from>
    <xdr:ext cx="1228725" cy="1257300"/>
    <xdr:pic>
      <xdr:nvPicPr>
        <xdr:cNvPr id="0" name="image4.png" title="圖片"/>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toastmasters.org.tw/" TargetMode="External"/><Relationship Id="rId2" Type="http://schemas.openxmlformats.org/officeDocument/2006/relationships/hyperlink" Target="mailto:a0916141207@gmail.com" TargetMode="External"/><Relationship Id="rId3" Type="http://schemas.openxmlformats.org/officeDocument/2006/relationships/hyperlink" Target="mailto:a0916141207@gmail.com" TargetMode="External"/><Relationship Id="rId4" Type="http://schemas.openxmlformats.org/officeDocument/2006/relationships/hyperlink" Target="mailto:lucyk74@gmail.com" TargetMode="External"/><Relationship Id="rId5" Type="http://schemas.openxmlformats.org/officeDocument/2006/relationships/hyperlink" Target="mailto:a0916141207@gmail.com" TargetMode="External"/><Relationship Id="rId6" Type="http://schemas.openxmlformats.org/officeDocument/2006/relationships/hyperlink" Target="mailto:regina0218@gmail.com"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6.11"/>
    <col customWidth="1" min="2" max="2" width="5.67"/>
    <col customWidth="1" min="3" max="3" width="7.11"/>
    <col customWidth="1" min="4" max="4" width="6.67"/>
    <col customWidth="1" min="5" max="6" width="6.78"/>
    <col customWidth="1" min="7" max="7" width="5.11"/>
    <col customWidth="1" min="8" max="8" width="10.67"/>
    <col customWidth="1" min="9" max="9" width="24.11"/>
    <col customWidth="1" min="10" max="10" width="17.78"/>
    <col customWidth="1" min="11" max="11" width="25.56"/>
    <col customWidth="1" min="12" max="12" width="14.89"/>
    <col customWidth="1" min="13" max="20" width="6.78"/>
    <col customWidth="1" min="21" max="21" width="25.33"/>
  </cols>
  <sheetData>
    <row r="1" ht="64.5" customHeight="1">
      <c r="A1" s="1" t="s">
        <v>0</v>
      </c>
    </row>
    <row r="2" ht="17.25" customHeight="1">
      <c r="A2" s="2" t="s">
        <v>1</v>
      </c>
      <c r="O2" s="3"/>
    </row>
    <row r="3" ht="15.75" customHeight="1">
      <c r="A3" s="2" t="s">
        <v>2</v>
      </c>
      <c r="O3" s="3"/>
    </row>
    <row r="4">
      <c r="A4" s="4" t="s">
        <v>3</v>
      </c>
      <c r="O4" s="3"/>
    </row>
    <row r="5" ht="17.25" customHeight="1">
      <c r="A5" s="5" t="s">
        <v>4</v>
      </c>
      <c r="B5" s="6"/>
      <c r="C5" s="6"/>
      <c r="D5" s="6"/>
      <c r="E5" s="6"/>
      <c r="F5" s="6"/>
      <c r="G5" s="6"/>
      <c r="H5" s="6"/>
      <c r="I5" s="6"/>
      <c r="J5" s="7"/>
      <c r="K5" s="6"/>
      <c r="L5" s="6"/>
      <c r="N5" s="8"/>
    </row>
    <row r="6" ht="17.25" customHeight="1">
      <c r="A6" s="9"/>
      <c r="B6" s="9"/>
      <c r="C6" s="9"/>
      <c r="D6" s="9"/>
      <c r="E6" s="9"/>
      <c r="F6" s="9"/>
      <c r="G6" s="9"/>
      <c r="H6" s="9"/>
      <c r="I6" s="9"/>
      <c r="J6" s="10"/>
      <c r="K6" s="9"/>
      <c r="L6" s="9"/>
      <c r="N6" s="8"/>
      <c r="U6" s="11"/>
    </row>
    <row r="7" ht="24.0" customHeight="1">
      <c r="A7" s="12" t="s">
        <v>5</v>
      </c>
      <c r="B7" s="13"/>
      <c r="C7" s="13"/>
      <c r="D7" s="13"/>
      <c r="E7" s="13"/>
      <c r="F7" s="13"/>
      <c r="G7" s="13"/>
      <c r="H7" s="13"/>
      <c r="I7" s="13"/>
      <c r="J7" s="13"/>
      <c r="K7" s="13"/>
      <c r="L7" s="14"/>
      <c r="N7" s="8"/>
      <c r="U7" s="11"/>
    </row>
    <row r="8" ht="28.5" customHeight="1">
      <c r="A8" s="15" t="s">
        <v>6</v>
      </c>
      <c r="B8" s="13"/>
      <c r="C8" s="13"/>
      <c r="D8" s="13"/>
      <c r="E8" s="13"/>
      <c r="F8" s="13"/>
      <c r="G8" s="13"/>
      <c r="H8" s="13"/>
      <c r="I8" s="13"/>
      <c r="J8" s="13"/>
      <c r="K8" s="13"/>
      <c r="L8" s="14"/>
      <c r="N8" s="8"/>
      <c r="S8" s="16"/>
      <c r="T8" s="16"/>
      <c r="U8" s="16"/>
      <c r="V8" s="16"/>
    </row>
    <row r="9" ht="28.5" customHeight="1">
      <c r="A9" s="17"/>
      <c r="B9" s="18"/>
      <c r="C9" s="18"/>
      <c r="D9" s="18"/>
      <c r="E9" s="18"/>
      <c r="F9" s="18"/>
      <c r="G9" s="18"/>
      <c r="H9" s="18"/>
      <c r="I9" s="18"/>
      <c r="J9" s="18"/>
      <c r="K9" s="18"/>
      <c r="L9" s="19"/>
      <c r="N9" s="8"/>
      <c r="S9" s="16"/>
      <c r="T9" s="16"/>
      <c r="U9" s="16"/>
      <c r="V9" s="16"/>
    </row>
    <row r="10" ht="22.5" customHeight="1">
      <c r="A10" s="20" t="s">
        <v>7</v>
      </c>
      <c r="B10" s="18"/>
      <c r="C10" s="18"/>
      <c r="D10" s="18"/>
      <c r="E10" s="18"/>
      <c r="F10" s="18"/>
      <c r="G10" s="18"/>
      <c r="H10" s="18"/>
      <c r="I10" s="18"/>
      <c r="J10" s="18"/>
      <c r="K10" s="18"/>
      <c r="L10" s="19"/>
      <c r="N10" s="8"/>
      <c r="S10" s="16"/>
      <c r="T10" s="16"/>
      <c r="U10" s="16"/>
      <c r="V10" s="16"/>
    </row>
    <row r="11" ht="61.5" customHeight="1">
      <c r="A11" s="21" t="str">
        <f>CONCATENATE("Theme: ", parameters!E18, CHAR(10),"Question: ",parameters!F18)
</f>
        <v>Theme: The Power of Words
Question: Has someone’s words ever changed your life?</v>
      </c>
      <c r="B11" s="22"/>
      <c r="C11" s="22"/>
      <c r="D11" s="22"/>
      <c r="E11" s="22"/>
      <c r="F11" s="22"/>
      <c r="G11" s="22"/>
      <c r="H11" s="22"/>
      <c r="I11" s="22"/>
      <c r="J11" s="22"/>
      <c r="K11" s="22"/>
      <c r="L11" s="23"/>
      <c r="S11" s="16"/>
      <c r="T11" s="16"/>
      <c r="U11" s="16"/>
      <c r="V11" s="16"/>
    </row>
    <row r="12" ht="24.0" customHeight="1">
      <c r="A12" s="24" t="s">
        <v>8</v>
      </c>
      <c r="B12" s="13"/>
      <c r="C12" s="13"/>
      <c r="D12" s="25" t="s">
        <v>9</v>
      </c>
      <c r="E12" s="22"/>
      <c r="F12" s="22"/>
      <c r="G12" s="22"/>
      <c r="H12" s="22"/>
      <c r="I12" s="23"/>
      <c r="J12" s="26" t="s">
        <v>10</v>
      </c>
      <c r="K12" s="23"/>
      <c r="L12" s="27" t="s">
        <v>11</v>
      </c>
      <c r="S12" s="16"/>
      <c r="T12" s="16"/>
      <c r="U12" s="16"/>
      <c r="V12" s="16"/>
    </row>
    <row r="13" ht="24.0" customHeight="1">
      <c r="A13" s="28">
        <v>0.7708333333333334</v>
      </c>
      <c r="B13" s="28">
        <v>0.7847222222222222</v>
      </c>
      <c r="C13" s="29">
        <v>0.013888888888888888</v>
      </c>
      <c r="D13" s="30" t="s">
        <v>12</v>
      </c>
      <c r="E13" s="22"/>
      <c r="F13" s="22"/>
      <c r="G13" s="22"/>
      <c r="H13" s="22"/>
      <c r="I13" s="23"/>
      <c r="J13" s="31" t="s">
        <v>13</v>
      </c>
      <c r="K13" s="23"/>
      <c r="L13" s="32"/>
      <c r="S13" s="16"/>
      <c r="T13" s="16"/>
      <c r="U13" s="16"/>
      <c r="V13" s="16"/>
    </row>
    <row r="14" ht="24.0" customHeight="1">
      <c r="A14" s="28">
        <f t="shared" ref="A14:A17" si="1">B13</f>
        <v>0.7847222222</v>
      </c>
      <c r="B14" s="28">
        <f t="shared" ref="B14:B16" si="2">A14+C14</f>
        <v>0.8020833333</v>
      </c>
      <c r="C14" s="29">
        <v>0.017361111111111112</v>
      </c>
      <c r="D14" s="30" t="s">
        <v>14</v>
      </c>
      <c r="E14" s="22"/>
      <c r="F14" s="22"/>
      <c r="G14" s="22"/>
      <c r="H14" s="22"/>
      <c r="I14" s="23"/>
      <c r="J14" s="33" t="s">
        <v>13</v>
      </c>
      <c r="K14" s="23"/>
      <c r="L14" s="32" t="s">
        <v>15</v>
      </c>
      <c r="S14" s="16"/>
      <c r="T14" s="16"/>
      <c r="U14" s="16"/>
      <c r="V14" s="16"/>
    </row>
    <row r="15" ht="24.0" customHeight="1">
      <c r="A15" s="34">
        <f t="shared" si="1"/>
        <v>0.8020833333</v>
      </c>
      <c r="B15" s="34">
        <f t="shared" si="2"/>
        <v>0.8027777778</v>
      </c>
      <c r="C15" s="35">
        <v>6.944444444444445E-4</v>
      </c>
      <c r="D15" s="36" t="s">
        <v>16</v>
      </c>
      <c r="E15" s="22"/>
      <c r="F15" s="22"/>
      <c r="G15" s="22"/>
      <c r="H15" s="22"/>
      <c r="I15" s="23"/>
      <c r="J15" s="37" t="s">
        <v>17</v>
      </c>
      <c r="K15" s="23"/>
      <c r="L15" s="38"/>
      <c r="M15" s="39"/>
      <c r="N15" s="39"/>
      <c r="O15" s="39"/>
      <c r="P15" s="39"/>
      <c r="Q15" s="39"/>
      <c r="R15" s="39"/>
      <c r="S15" s="40"/>
      <c r="T15" s="40"/>
      <c r="U15" s="40"/>
      <c r="V15" s="40"/>
      <c r="W15" s="39"/>
      <c r="X15" s="39"/>
      <c r="Y15" s="39"/>
      <c r="Z15" s="39"/>
      <c r="AA15" s="39"/>
    </row>
    <row r="16" ht="24.0" customHeight="1">
      <c r="A16" s="28">
        <f t="shared" si="1"/>
        <v>0.8027777778</v>
      </c>
      <c r="B16" s="28">
        <f t="shared" si="2"/>
        <v>0.80625</v>
      </c>
      <c r="C16" s="29">
        <v>0.003472222222222222</v>
      </c>
      <c r="D16" s="41" t="s">
        <v>18</v>
      </c>
      <c r="E16" s="13"/>
      <c r="F16" s="13"/>
      <c r="G16" s="13"/>
      <c r="H16" s="13"/>
      <c r="I16" s="14"/>
      <c r="J16" s="42" t="s">
        <v>19</v>
      </c>
      <c r="K16" s="43" t="str">
        <f>Roles!D2</f>
        <v>Dennis Chen, IP3</v>
      </c>
      <c r="L16" s="32"/>
      <c r="S16" s="16"/>
      <c r="T16" s="16"/>
      <c r="U16" s="16"/>
      <c r="V16" s="16"/>
    </row>
    <row r="17" ht="24.0" customHeight="1">
      <c r="A17" s="44">
        <f t="shared" si="1"/>
        <v>0.80625</v>
      </c>
      <c r="B17" s="44">
        <v>0.8125</v>
      </c>
      <c r="C17" s="45">
        <v>0.0020833333333333333</v>
      </c>
      <c r="D17" s="46" t="s">
        <v>20</v>
      </c>
      <c r="E17" s="22"/>
      <c r="F17" s="22"/>
      <c r="G17" s="22"/>
      <c r="H17" s="22"/>
      <c r="I17" s="23"/>
      <c r="J17" s="47" t="s">
        <v>21</v>
      </c>
      <c r="K17" s="43" t="str">
        <f>Roles!D3</f>
        <v>Dennis Chen, IP3</v>
      </c>
      <c r="L17" s="48" t="s">
        <v>22</v>
      </c>
      <c r="M17" s="16"/>
      <c r="N17" s="16"/>
      <c r="O17" s="16"/>
      <c r="P17" s="16"/>
      <c r="Q17" s="16"/>
      <c r="R17" s="16"/>
      <c r="S17" s="16"/>
      <c r="T17" s="16"/>
      <c r="U17" s="16"/>
      <c r="V17" s="16"/>
    </row>
    <row r="18" ht="24.0" customHeight="1">
      <c r="A18" s="49"/>
      <c r="B18" s="49"/>
      <c r="C18" s="45">
        <v>0.001388888888888889</v>
      </c>
      <c r="D18" s="50" t="s">
        <v>23</v>
      </c>
      <c r="E18" s="22"/>
      <c r="F18" s="22"/>
      <c r="G18" s="22"/>
      <c r="H18" s="22"/>
      <c r="I18" s="23"/>
      <c r="J18" s="51" t="str">
        <f>Roles!D4</f>
        <v>Regina Cheng, DTM</v>
      </c>
      <c r="K18" s="23"/>
      <c r="L18" s="48" t="s">
        <v>24</v>
      </c>
      <c r="M18" s="16"/>
      <c r="N18" s="16"/>
      <c r="O18" s="16"/>
      <c r="P18" s="16"/>
      <c r="Q18" s="16"/>
      <c r="R18" s="16"/>
      <c r="S18" s="16"/>
      <c r="T18" s="16"/>
      <c r="U18" s="16"/>
      <c r="V18" s="16"/>
    </row>
    <row r="19" ht="24.0" customHeight="1">
      <c r="A19" s="49"/>
      <c r="B19" s="49"/>
      <c r="C19" s="45">
        <v>0.001388888888888889</v>
      </c>
      <c r="D19" s="50" t="s">
        <v>25</v>
      </c>
      <c r="E19" s="22"/>
      <c r="F19" s="22"/>
      <c r="G19" s="22"/>
      <c r="H19" s="22"/>
      <c r="I19" s="23"/>
      <c r="J19" s="51" t="str">
        <f>Roles!D5</f>
        <v>Michael James</v>
      </c>
      <c r="K19" s="23"/>
      <c r="L19" s="48" t="s">
        <v>26</v>
      </c>
      <c r="M19" s="16"/>
      <c r="N19" s="16"/>
      <c r="O19" s="16"/>
      <c r="P19" s="16"/>
      <c r="Q19" s="16"/>
      <c r="R19" s="16"/>
      <c r="S19" s="16"/>
      <c r="T19" s="16"/>
    </row>
    <row r="20" ht="24.0" customHeight="1">
      <c r="A20" s="52"/>
      <c r="B20" s="52"/>
      <c r="C20" s="45">
        <v>0.001388888888888889</v>
      </c>
      <c r="D20" s="50" t="s">
        <v>27</v>
      </c>
      <c r="E20" s="22"/>
      <c r="F20" s="22"/>
      <c r="G20" s="22"/>
      <c r="H20" s="22"/>
      <c r="I20" s="23"/>
      <c r="J20" s="51" t="str">
        <f>Roles!D6</f>
        <v>Regina Cheng, DTM</v>
      </c>
      <c r="K20" s="23"/>
      <c r="L20" s="48" t="s">
        <v>28</v>
      </c>
      <c r="M20" s="16"/>
      <c r="N20" s="16"/>
      <c r="O20" s="16"/>
      <c r="P20" s="16"/>
      <c r="Q20" s="16"/>
      <c r="R20" s="16"/>
      <c r="S20" s="16"/>
      <c r="T20" s="16"/>
    </row>
    <row r="21" ht="24.0" customHeight="1">
      <c r="A21" s="28">
        <v>0.8125</v>
      </c>
      <c r="B21" s="28">
        <f t="shared" ref="B21:B22" si="3">A21+C21</f>
        <v>0.8194444444</v>
      </c>
      <c r="C21" s="53">
        <v>0.006944444444444444</v>
      </c>
      <c r="D21" s="54" t="s">
        <v>29</v>
      </c>
      <c r="E21" s="18"/>
      <c r="F21" s="18"/>
      <c r="G21" s="18"/>
      <c r="H21" s="18"/>
      <c r="I21" s="19"/>
      <c r="J21" s="51" t="str">
        <f>Roles!D7</f>
        <v>Maxim Niederau</v>
      </c>
      <c r="K21" s="23"/>
      <c r="L21" s="48" t="s">
        <v>30</v>
      </c>
      <c r="O21" s="16"/>
    </row>
    <row r="22" ht="24.0" customHeight="1">
      <c r="A22" s="44">
        <f t="shared" ref="A22:A23" si="4">B21</f>
        <v>0.8194444444</v>
      </c>
      <c r="B22" s="28">
        <f t="shared" si="3"/>
        <v>0.8201388889</v>
      </c>
      <c r="C22" s="55">
        <v>6.944444444444445E-4</v>
      </c>
      <c r="D22" s="56" t="s">
        <v>31</v>
      </c>
      <c r="E22" s="13"/>
      <c r="F22" s="13"/>
      <c r="G22" s="13"/>
      <c r="H22" s="13"/>
      <c r="I22" s="14"/>
      <c r="J22" s="57" t="str">
        <f>Roles!D3</f>
        <v>Dennis Chen, IP3</v>
      </c>
      <c r="K22" s="14"/>
      <c r="L22" s="48" t="s">
        <v>22</v>
      </c>
      <c r="O22" s="16"/>
    </row>
    <row r="23" ht="24.0" customHeight="1">
      <c r="A23" s="58">
        <f t="shared" si="4"/>
        <v>0.8201388889</v>
      </c>
      <c r="B23" s="59">
        <f>B22+parameters!B2-parameters!C2</f>
        <v>0.8243055556</v>
      </c>
      <c r="C23" s="60" t="str">
        <f>parameters!D2</f>
        <v>5-7m</v>
      </c>
      <c r="D23" s="61" t="str">
        <f>parameters!H2</f>
        <v>L5P2</v>
      </c>
      <c r="E23" s="62" t="str">
        <f>CONCATENATE("Project: ", parameters!E2)</f>
        <v>Project: High Performance Leadership</v>
      </c>
      <c r="F23" s="13"/>
      <c r="G23" s="13"/>
      <c r="H23" s="13"/>
      <c r="I23" s="14"/>
      <c r="J23" s="63" t="str">
        <f>Roles!D8</f>
        <v>Javier Bernabeu, MS4</v>
      </c>
      <c r="K23" s="14"/>
      <c r="L23" s="64" t="s">
        <v>32</v>
      </c>
      <c r="M23" s="16"/>
      <c r="N23" s="16"/>
      <c r="O23" s="16"/>
      <c r="P23" s="16"/>
      <c r="Q23" s="16"/>
      <c r="R23" s="16"/>
      <c r="S23" s="16"/>
      <c r="T23" s="16"/>
    </row>
    <row r="24" ht="24.0" customHeight="1">
      <c r="A24" s="52"/>
      <c r="B24" s="17"/>
      <c r="C24" s="52"/>
      <c r="D24" s="65" t="str">
        <f>CONCATENATE("Title: ", parameters!F2)</f>
        <v>Title: Moving Mountains From Inside Us</v>
      </c>
      <c r="E24" s="66"/>
      <c r="F24" s="66"/>
      <c r="G24" s="66"/>
      <c r="H24" s="66"/>
      <c r="I24" s="67"/>
      <c r="J24" s="17"/>
      <c r="K24" s="19"/>
      <c r="L24" s="19"/>
      <c r="M24" s="16"/>
      <c r="N24" s="16"/>
      <c r="O24" s="16"/>
      <c r="P24" s="16"/>
      <c r="Q24" s="16"/>
      <c r="R24" s="16"/>
      <c r="S24" s="16"/>
      <c r="T24" s="16"/>
    </row>
    <row r="25" ht="24.0" customHeight="1">
      <c r="A25" s="44">
        <f>B23</f>
        <v>0.8243055556</v>
      </c>
      <c r="B25" s="59">
        <f>B23+parameters!B3+parameters!C3</f>
        <v>0.8291666667</v>
      </c>
      <c r="C25" s="68" t="str">
        <f>parameters!D3</f>
        <v>4-6m</v>
      </c>
      <c r="D25" s="69" t="str">
        <f>parameters!H3</f>
        <v>L1P1</v>
      </c>
      <c r="E25" s="62" t="str">
        <f>CONCATENATE("Project: ", parameters!E3)</f>
        <v>Project: Ice Breaker</v>
      </c>
      <c r="F25" s="13"/>
      <c r="G25" s="13"/>
      <c r="H25" s="13"/>
      <c r="I25" s="14"/>
      <c r="J25" s="70" t="str">
        <f>Roles!D9</f>
        <v>Tanya Chen(Sandwich)</v>
      </c>
      <c r="K25" s="71"/>
      <c r="L25" s="72" t="s">
        <v>32</v>
      </c>
      <c r="M25" s="16"/>
      <c r="N25" s="16"/>
      <c r="O25" s="16"/>
      <c r="P25" s="16"/>
      <c r="Q25" s="16"/>
      <c r="R25" s="16"/>
      <c r="S25" s="16"/>
      <c r="T25" s="16"/>
    </row>
    <row r="26" ht="24.0" customHeight="1">
      <c r="A26" s="52"/>
      <c r="B26" s="17"/>
      <c r="C26" s="52"/>
      <c r="D26" s="73" t="str">
        <f>CONCATENATE("Title: ", parameters!F3)</f>
        <v>Title: Voyage of Discovery</v>
      </c>
      <c r="E26" s="74"/>
      <c r="F26" s="74"/>
      <c r="G26" s="74"/>
      <c r="H26" s="74"/>
      <c r="I26" s="75"/>
      <c r="J26" s="17"/>
      <c r="K26" s="19"/>
      <c r="L26" s="52"/>
      <c r="M26" s="16"/>
      <c r="N26" s="16"/>
      <c r="O26" s="16"/>
      <c r="P26" s="16"/>
      <c r="Q26" s="16"/>
      <c r="R26" s="16"/>
      <c r="S26" s="16"/>
      <c r="T26" s="16"/>
    </row>
    <row r="27" ht="24.0" hidden="1" customHeight="1">
      <c r="A27" s="76">
        <f>B25</f>
        <v>0.8291666667</v>
      </c>
      <c r="B27" s="59">
        <f>B25+parameters!B4+parameters!C4</f>
        <v>0.8347222222</v>
      </c>
      <c r="C27" s="77" t="str">
        <f>parameters!D4</f>
        <v>5-7m</v>
      </c>
      <c r="D27" s="78" t="str">
        <f>parameters!H4</f>
        <v/>
      </c>
      <c r="E27" s="79" t="str">
        <f>CONCATENATE("Project: ", parameters!E4)</f>
        <v>Project: </v>
      </c>
      <c r="F27" s="18"/>
      <c r="G27" s="18"/>
      <c r="H27" s="18"/>
      <c r="I27" s="19"/>
      <c r="J27" s="80" t="str">
        <f>Roles!D10</f>
        <v/>
      </c>
      <c r="K27" s="14"/>
      <c r="L27" s="72" t="s">
        <v>32</v>
      </c>
      <c r="M27" s="81"/>
      <c r="N27" s="81"/>
      <c r="O27" s="81"/>
      <c r="P27" s="81"/>
      <c r="Q27" s="81"/>
      <c r="R27" s="81"/>
      <c r="S27" s="81"/>
      <c r="T27" s="81"/>
      <c r="U27" s="82"/>
      <c r="V27" s="82"/>
      <c r="W27" s="82"/>
      <c r="X27" s="82"/>
      <c r="Y27" s="82"/>
      <c r="Z27" s="82"/>
      <c r="AA27" s="82"/>
    </row>
    <row r="28" ht="24.0" hidden="1" customHeight="1">
      <c r="A28" s="52"/>
      <c r="B28" s="17"/>
      <c r="C28" s="17"/>
      <c r="D28" s="83" t="str">
        <f>CONCATENATE("Title: ", parameters!F4)</f>
        <v>Title: </v>
      </c>
      <c r="E28" s="22"/>
      <c r="F28" s="22"/>
      <c r="G28" s="22"/>
      <c r="H28" s="22"/>
      <c r="I28" s="23"/>
      <c r="J28" s="18"/>
      <c r="K28" s="19"/>
      <c r="L28" s="52"/>
      <c r="M28" s="16"/>
      <c r="N28" s="16"/>
      <c r="O28" s="16"/>
      <c r="P28" s="16"/>
      <c r="Q28" s="16"/>
      <c r="R28" s="16"/>
      <c r="S28" s="16"/>
      <c r="T28" s="16"/>
    </row>
    <row r="29" ht="24.0" customHeight="1">
      <c r="A29" s="28">
        <f>B27</f>
        <v>0.8347222222</v>
      </c>
      <c r="B29" s="84">
        <f t="shared" ref="B29:B32" si="5">A29+C29</f>
        <v>0.8361111111</v>
      </c>
      <c r="C29" s="85">
        <v>0.001388888888888889</v>
      </c>
      <c r="D29" s="86" t="s">
        <v>33</v>
      </c>
      <c r="E29" s="18"/>
      <c r="F29" s="18"/>
      <c r="G29" s="18"/>
      <c r="H29" s="18"/>
      <c r="I29" s="19"/>
      <c r="J29" s="87" t="str">
        <f>CONCATENATE(Roles!$D$4," / ",Roles!$D$5)</f>
        <v>Regina Cheng, DTM / Michael James</v>
      </c>
      <c r="K29" s="23"/>
      <c r="L29" s="88" t="s">
        <v>34</v>
      </c>
      <c r="M29" s="16"/>
      <c r="N29" s="16"/>
      <c r="O29" s="16"/>
      <c r="P29" s="16"/>
      <c r="Q29" s="16"/>
      <c r="R29" s="16"/>
      <c r="S29" s="16"/>
      <c r="T29" s="16"/>
    </row>
    <row r="30" ht="24.0" customHeight="1">
      <c r="A30" s="89">
        <f t="shared" ref="A30:A35" si="6">B29</f>
        <v>0.8361111111</v>
      </c>
      <c r="B30" s="90">
        <f t="shared" si="5"/>
        <v>0.8430555556</v>
      </c>
      <c r="C30" s="91">
        <v>0.006944444444444444</v>
      </c>
      <c r="D30" s="92" t="s">
        <v>35</v>
      </c>
      <c r="E30" s="22"/>
      <c r="F30" s="22"/>
      <c r="G30" s="22"/>
      <c r="H30" s="22"/>
      <c r="I30" s="23"/>
      <c r="J30" s="93" t="str">
        <f>Roles!D12</f>
        <v>Eloise Hsu, EH1</v>
      </c>
      <c r="K30" s="23"/>
      <c r="L30" s="94" t="s">
        <v>36</v>
      </c>
      <c r="M30" s="16"/>
      <c r="N30" s="16"/>
      <c r="O30" s="16"/>
      <c r="P30" s="16"/>
      <c r="Q30" s="16"/>
      <c r="R30" s="16"/>
      <c r="S30" s="16"/>
      <c r="T30" s="16"/>
    </row>
    <row r="31" ht="24.0" customHeight="1">
      <c r="A31" s="28">
        <f t="shared" si="6"/>
        <v>0.8430555556</v>
      </c>
      <c r="B31" s="28">
        <f t="shared" si="5"/>
        <v>0.8534722222</v>
      </c>
      <c r="C31" s="53">
        <v>0.010416666666666666</v>
      </c>
      <c r="D31" s="95" t="s">
        <v>37</v>
      </c>
      <c r="E31" s="22"/>
      <c r="F31" s="22"/>
      <c r="G31" s="22"/>
      <c r="H31" s="22"/>
      <c r="I31" s="23"/>
      <c r="J31" s="96" t="str">
        <f>Roles!D13</f>
        <v>Tappy Hsieh, PM2</v>
      </c>
      <c r="K31" s="23"/>
      <c r="L31" s="48" t="s">
        <v>30</v>
      </c>
      <c r="O31" s="16"/>
    </row>
    <row r="32" ht="24.0" customHeight="1">
      <c r="A32" s="28">
        <f t="shared" si="6"/>
        <v>0.8534722222</v>
      </c>
      <c r="B32" s="28">
        <f t="shared" si="5"/>
        <v>0.8555555556</v>
      </c>
      <c r="C32" s="29">
        <v>0.0020833333333333333</v>
      </c>
      <c r="D32" s="97" t="s">
        <v>38</v>
      </c>
      <c r="E32" s="22"/>
      <c r="F32" s="22"/>
      <c r="G32" s="22"/>
      <c r="H32" s="22"/>
      <c r="I32" s="23"/>
      <c r="J32" s="96" t="str">
        <f>Roles!D14</f>
        <v>Alex Huang, PM3</v>
      </c>
      <c r="K32" s="23"/>
      <c r="L32" s="48" t="s">
        <v>39</v>
      </c>
      <c r="O32" s="16"/>
    </row>
    <row r="33" ht="24.0" customHeight="1">
      <c r="A33" s="28">
        <f t="shared" si="6"/>
        <v>0.8555555556</v>
      </c>
      <c r="B33" s="84">
        <f>B32+parameters!B6+parameters!C6</f>
        <v>0.8583333333</v>
      </c>
      <c r="C33" s="98" t="str">
        <f>parameters!D6</f>
        <v>2-3m</v>
      </c>
      <c r="D33" s="99" t="str">
        <f>CONCATENATE("Individual Evaluator #1 for ",Roles!D8)</f>
        <v>Individual Evaluator #1 for Javier Bernabeu, MS4</v>
      </c>
      <c r="E33" s="22"/>
      <c r="F33" s="22"/>
      <c r="G33" s="22"/>
      <c r="H33" s="22"/>
      <c r="I33" s="23"/>
      <c r="J33" s="100" t="str">
        <f>Roles!D15</f>
        <v>Carol Chang, PM3</v>
      </c>
      <c r="K33" s="23"/>
      <c r="L33" s="48" t="s">
        <v>40</v>
      </c>
      <c r="O33" s="16"/>
    </row>
    <row r="34" ht="24.0" customHeight="1">
      <c r="A34" s="28">
        <f t="shared" si="6"/>
        <v>0.8583333333</v>
      </c>
      <c r="B34" s="84">
        <f>B33+parameters!B7+parameters!C7</f>
        <v>0.8611111111</v>
      </c>
      <c r="C34" s="98" t="str">
        <f>parameters!D7</f>
        <v>2-3m</v>
      </c>
      <c r="D34" s="99" t="str">
        <f>CONCATENATE("Individual Evaluator #2 for ",Roles!D9)</f>
        <v>Individual Evaluator #2 for Tanya Chen(Sandwich)</v>
      </c>
      <c r="E34" s="22"/>
      <c r="F34" s="22"/>
      <c r="G34" s="22"/>
      <c r="H34" s="22"/>
      <c r="I34" s="23"/>
      <c r="J34" s="100" t="str">
        <f>Roles!D16</f>
        <v>Pearl Huang, LD4</v>
      </c>
      <c r="K34" s="23"/>
      <c r="L34" s="48" t="s">
        <v>40</v>
      </c>
      <c r="O34" s="16"/>
    </row>
    <row r="35" ht="24.0" hidden="1" customHeight="1">
      <c r="A35" s="28">
        <f t="shared" si="6"/>
        <v>0.8611111111</v>
      </c>
      <c r="B35" s="28">
        <f>B34+parameters!B7+parameters!C7</f>
        <v>0.8638888889</v>
      </c>
      <c r="C35" s="98" t="str">
        <f>parameters!D8</f>
        <v>2-3m</v>
      </c>
      <c r="D35" s="99" t="str">
        <f>CONCATENATE("Individual Evaluator #3 for ",Roles!D10)</f>
        <v>Individual Evaluator #3 for </v>
      </c>
      <c r="E35" s="22"/>
      <c r="F35" s="22"/>
      <c r="G35" s="22"/>
      <c r="H35" s="22"/>
      <c r="I35" s="23"/>
      <c r="J35" s="96" t="str">
        <f>Roles!D17</f>
        <v/>
      </c>
      <c r="K35" s="23"/>
      <c r="L35" s="48" t="s">
        <v>40</v>
      </c>
      <c r="O35" s="16"/>
    </row>
    <row r="36" ht="24.0" customHeight="1">
      <c r="A36" s="28">
        <f>B34</f>
        <v>0.8611111111</v>
      </c>
      <c r="B36" s="101">
        <f>A36+C36</f>
        <v>0.8625</v>
      </c>
      <c r="C36" s="102">
        <v>0.001388888888888889</v>
      </c>
      <c r="D36" s="103" t="s">
        <v>41</v>
      </c>
      <c r="E36" s="18"/>
      <c r="F36" s="18"/>
      <c r="G36" s="18"/>
      <c r="H36" s="18"/>
      <c r="I36" s="19"/>
      <c r="J36" s="87" t="str">
        <f>CONCATENATE(Roles!$D$4," / ",Roles!$D$5)</f>
        <v>Regina Cheng, DTM / Michael James</v>
      </c>
      <c r="K36" s="23"/>
      <c r="L36" s="88" t="s">
        <v>34</v>
      </c>
      <c r="O36" s="16"/>
    </row>
    <row r="37" ht="24.0" customHeight="1">
      <c r="A37" s="28">
        <f t="shared" ref="A37:A42" si="7">B36</f>
        <v>0.8625</v>
      </c>
      <c r="B37" s="104">
        <f>A37+parameters!B11+parameters!C11</f>
        <v>0.8673611111</v>
      </c>
      <c r="C37" s="105" t="str">
        <f>parameters!D11</f>
        <v>4-6m</v>
      </c>
      <c r="D37" s="97" t="s">
        <v>42</v>
      </c>
      <c r="E37" s="22"/>
      <c r="F37" s="22"/>
      <c r="G37" s="22"/>
      <c r="H37" s="22"/>
      <c r="I37" s="23"/>
      <c r="J37" s="100" t="str">
        <f>Roles!D20</f>
        <v>Eloise Hsu, EH1</v>
      </c>
      <c r="K37" s="23"/>
      <c r="L37" s="88" t="s">
        <v>43</v>
      </c>
      <c r="O37" s="16"/>
    </row>
    <row r="38" ht="24.0" customHeight="1">
      <c r="A38" s="28">
        <f t="shared" si="7"/>
        <v>0.8673611111</v>
      </c>
      <c r="B38" s="104">
        <f>B37+parameters!B12+parameters!C12</f>
        <v>0.8722222222</v>
      </c>
      <c r="C38" s="105" t="str">
        <f>parameters!D12</f>
        <v>4-6m</v>
      </c>
      <c r="D38" s="97" t="s">
        <v>44</v>
      </c>
      <c r="E38" s="22"/>
      <c r="F38" s="22"/>
      <c r="G38" s="22"/>
      <c r="H38" s="22"/>
      <c r="I38" s="23"/>
      <c r="J38" s="87" t="str">
        <f>Roles!B14</f>
        <v>Alex Huang</v>
      </c>
      <c r="K38" s="23"/>
      <c r="L38" s="88" t="s">
        <v>39</v>
      </c>
      <c r="O38" s="16"/>
    </row>
    <row r="39" ht="24.0" customHeight="1">
      <c r="A39" s="28">
        <f t="shared" si="7"/>
        <v>0.8722222222</v>
      </c>
      <c r="B39" s="104">
        <f t="shared" ref="B39:B42" si="8">A39+C39</f>
        <v>0.8729166667</v>
      </c>
      <c r="C39" s="106">
        <v>6.944444444444445E-4</v>
      </c>
      <c r="D39" s="97" t="s">
        <v>45</v>
      </c>
      <c r="E39" s="22"/>
      <c r="F39" s="22"/>
      <c r="G39" s="22"/>
      <c r="H39" s="22"/>
      <c r="I39" s="23"/>
      <c r="J39" s="100" t="str">
        <f>Roles!D2</f>
        <v>Dennis Chen, IP3</v>
      </c>
      <c r="K39" s="23"/>
      <c r="L39" s="48" t="s">
        <v>22</v>
      </c>
      <c r="O39" s="16"/>
    </row>
    <row r="40" ht="24.0" customHeight="1">
      <c r="A40" s="28">
        <f t="shared" si="7"/>
        <v>0.8729166667</v>
      </c>
      <c r="B40" s="104">
        <f t="shared" si="8"/>
        <v>0.8763888889</v>
      </c>
      <c r="C40" s="105">
        <v>0.003472222222222222</v>
      </c>
      <c r="D40" s="30" t="s">
        <v>46</v>
      </c>
      <c r="E40" s="22"/>
      <c r="F40" s="22"/>
      <c r="G40" s="22"/>
      <c r="H40" s="22"/>
      <c r="I40" s="23"/>
      <c r="J40" s="100" t="str">
        <f>Roles!D2</f>
        <v>Dennis Chen, IP3</v>
      </c>
      <c r="K40" s="23"/>
      <c r="L40" s="107"/>
      <c r="O40" s="16"/>
    </row>
    <row r="41" ht="24.0" customHeight="1">
      <c r="A41" s="28">
        <f t="shared" si="7"/>
        <v>0.8763888889</v>
      </c>
      <c r="B41" s="104">
        <f t="shared" si="8"/>
        <v>0.8798611111</v>
      </c>
      <c r="C41" s="108">
        <v>0.003472222222222222</v>
      </c>
      <c r="D41" s="30" t="s">
        <v>47</v>
      </c>
      <c r="E41" s="22"/>
      <c r="F41" s="22"/>
      <c r="G41" s="22"/>
      <c r="H41" s="22"/>
      <c r="I41" s="23"/>
      <c r="J41" s="109" t="s">
        <v>19</v>
      </c>
      <c r="K41" s="110" t="str">
        <f>Roles!D2</f>
        <v>Dennis Chen, IP3</v>
      </c>
      <c r="L41" s="72"/>
      <c r="O41" s="16"/>
    </row>
    <row r="42" ht="24.0" customHeight="1">
      <c r="A42" s="111">
        <f t="shared" si="7"/>
        <v>0.8798611111</v>
      </c>
      <c r="B42" s="104">
        <f t="shared" si="8"/>
        <v>0.8805555556</v>
      </c>
      <c r="C42" s="105">
        <v>6.944444444444445E-4</v>
      </c>
      <c r="D42" s="56" t="s">
        <v>48</v>
      </c>
      <c r="E42" s="13"/>
      <c r="F42" s="13"/>
      <c r="G42" s="13"/>
      <c r="H42" s="13"/>
      <c r="I42" s="14"/>
      <c r="J42" s="52"/>
      <c r="K42" s="52"/>
      <c r="L42" s="52"/>
      <c r="O42" s="16"/>
    </row>
    <row r="43" ht="18.75" customHeight="1">
      <c r="A43" s="112"/>
      <c r="B43" s="113" t="s">
        <v>49</v>
      </c>
      <c r="C43" s="22"/>
      <c r="D43" s="22"/>
      <c r="E43" s="22"/>
      <c r="F43" s="22"/>
      <c r="G43" s="22"/>
      <c r="H43" s="22"/>
      <c r="I43" s="22"/>
      <c r="J43" s="22"/>
      <c r="K43" s="23"/>
      <c r="L43" s="114"/>
    </row>
    <row r="44" ht="18.75" customHeight="1">
      <c r="A44" s="115" t="s">
        <v>50</v>
      </c>
      <c r="B44" s="116" t="s">
        <v>51</v>
      </c>
      <c r="C44" s="117"/>
      <c r="D44" s="117"/>
      <c r="E44" s="117"/>
      <c r="F44" s="117"/>
      <c r="G44" s="118"/>
      <c r="H44" s="115"/>
      <c r="I44" s="119" t="s">
        <v>52</v>
      </c>
      <c r="J44" s="120"/>
      <c r="K44" s="121"/>
      <c r="L44" s="122"/>
      <c r="M44" s="16"/>
      <c r="N44" s="16"/>
      <c r="P44" s="16"/>
      <c r="Q44" s="16"/>
      <c r="R44" s="16"/>
      <c r="S44" s="16"/>
      <c r="T44" s="16"/>
    </row>
    <row r="45" ht="18.75" customHeight="1">
      <c r="A45" s="123"/>
      <c r="B45" s="124" t="s">
        <v>53</v>
      </c>
      <c r="C45" s="125"/>
      <c r="D45" s="125"/>
      <c r="E45" s="125"/>
      <c r="F45" s="125"/>
      <c r="G45" s="120"/>
      <c r="H45" s="115"/>
      <c r="I45" s="119" t="s">
        <v>54</v>
      </c>
      <c r="J45" s="120"/>
      <c r="K45" s="121"/>
      <c r="L45" s="126"/>
    </row>
    <row r="46" ht="18.75" customHeight="1">
      <c r="A46" s="123"/>
      <c r="B46" s="124" t="s">
        <v>55</v>
      </c>
      <c r="C46" s="125"/>
      <c r="D46" s="125"/>
      <c r="E46" s="125"/>
      <c r="F46" s="125"/>
      <c r="G46" s="120"/>
      <c r="H46" s="121"/>
      <c r="I46" s="127"/>
      <c r="J46" s="120"/>
      <c r="K46" s="121"/>
      <c r="L46" s="126"/>
    </row>
    <row r="47" ht="18.75" customHeight="1">
      <c r="A47" s="128"/>
      <c r="B47" s="129"/>
      <c r="C47" s="130"/>
      <c r="D47" s="130"/>
      <c r="E47" s="130"/>
      <c r="F47" s="130"/>
      <c r="G47" s="131" t="s">
        <v>56</v>
      </c>
      <c r="H47" s="132"/>
      <c r="I47" s="132"/>
      <c r="J47" s="133"/>
      <c r="K47" s="134" t="s">
        <v>57</v>
      </c>
      <c r="L47" s="71"/>
    </row>
    <row r="48" ht="18.75" customHeight="1">
      <c r="A48" s="135" t="s">
        <v>58</v>
      </c>
      <c r="B48" s="13"/>
      <c r="C48" s="13"/>
      <c r="D48" s="13"/>
      <c r="E48" s="13"/>
      <c r="F48" s="13"/>
      <c r="G48" s="13"/>
      <c r="H48" s="13"/>
      <c r="I48" s="13"/>
      <c r="J48" s="13"/>
      <c r="K48" s="13"/>
      <c r="L48" s="14"/>
    </row>
    <row r="49" ht="18.75" customHeight="1">
      <c r="A49" s="136" t="s">
        <v>59</v>
      </c>
      <c r="B49" s="137"/>
      <c r="C49" s="138"/>
      <c r="D49" s="138"/>
      <c r="E49" s="138"/>
      <c r="F49" s="138"/>
      <c r="G49" s="138"/>
      <c r="H49" s="138"/>
      <c r="I49" s="139" t="s">
        <v>60</v>
      </c>
      <c r="J49" s="140"/>
      <c r="K49" s="138"/>
      <c r="L49" s="141"/>
    </row>
    <row r="50" ht="18.75" customHeight="1">
      <c r="B50" s="142"/>
      <c r="C50" s="143" t="s">
        <v>24</v>
      </c>
      <c r="D50" s="144"/>
      <c r="E50" s="145"/>
      <c r="F50" s="146" t="s">
        <v>61</v>
      </c>
      <c r="G50" s="147"/>
      <c r="H50" s="148" t="s">
        <v>22</v>
      </c>
      <c r="I50" s="149" t="s">
        <v>62</v>
      </c>
      <c r="J50" s="150" t="s">
        <v>40</v>
      </c>
      <c r="K50" s="149" t="s">
        <v>63</v>
      </c>
      <c r="L50" s="151"/>
      <c r="M50" s="152"/>
      <c r="N50" s="152"/>
      <c r="O50" s="152"/>
      <c r="P50" s="152"/>
      <c r="Q50" s="152"/>
      <c r="R50" s="152"/>
      <c r="S50" s="152"/>
      <c r="T50" s="152"/>
    </row>
    <row r="51" ht="18.75" customHeight="1">
      <c r="C51" s="153" t="s">
        <v>26</v>
      </c>
      <c r="D51" s="120"/>
      <c r="E51" s="154"/>
      <c r="F51" s="155" t="s">
        <v>64</v>
      </c>
      <c r="G51" s="156"/>
      <c r="H51" s="157" t="s">
        <v>39</v>
      </c>
      <c r="I51" s="158" t="s">
        <v>65</v>
      </c>
      <c r="J51" s="159" t="s">
        <v>66</v>
      </c>
      <c r="K51" s="158" t="s">
        <v>67</v>
      </c>
      <c r="L51" s="151"/>
      <c r="M51" s="152"/>
      <c r="N51" s="152"/>
      <c r="O51" s="152"/>
      <c r="P51" s="152"/>
      <c r="Q51" s="152"/>
      <c r="R51" s="152"/>
      <c r="S51" s="152"/>
      <c r="T51" s="152"/>
    </row>
    <row r="52" ht="18.75" customHeight="1">
      <c r="C52" s="160" t="s">
        <v>28</v>
      </c>
      <c r="D52" s="161"/>
      <c r="E52" s="162"/>
      <c r="F52" s="163" t="s">
        <v>68</v>
      </c>
      <c r="G52" s="75"/>
      <c r="H52" s="164" t="s">
        <v>43</v>
      </c>
      <c r="I52" s="165" t="s">
        <v>69</v>
      </c>
      <c r="J52" s="166" t="s">
        <v>29</v>
      </c>
      <c r="K52" s="165" t="s">
        <v>70</v>
      </c>
      <c r="L52" s="151"/>
      <c r="M52" s="152"/>
      <c r="N52" s="152"/>
      <c r="O52" s="152"/>
      <c r="P52" s="152"/>
      <c r="Q52" s="152"/>
      <c r="R52" s="152"/>
      <c r="S52" s="152"/>
      <c r="T52" s="152"/>
    </row>
    <row r="53" ht="16.5" customHeight="1">
      <c r="A53" s="167"/>
      <c r="B53" s="168"/>
      <c r="C53" s="167"/>
      <c r="J53" s="169"/>
      <c r="L53" s="151"/>
      <c r="M53" s="152"/>
      <c r="N53" s="152"/>
      <c r="O53" s="152"/>
      <c r="P53" s="152"/>
      <c r="Q53" s="152"/>
      <c r="R53" s="152"/>
      <c r="S53" s="152"/>
      <c r="T53" s="152"/>
    </row>
    <row r="54" ht="16.5" customHeight="1">
      <c r="A54" s="167"/>
      <c r="B54" s="168"/>
      <c r="C54" s="167"/>
      <c r="J54" s="169"/>
      <c r="L54" s="151"/>
      <c r="M54" s="152"/>
      <c r="N54" s="152"/>
      <c r="O54" s="152"/>
      <c r="P54" s="152"/>
      <c r="Q54" s="152"/>
      <c r="R54" s="152"/>
      <c r="S54" s="152"/>
      <c r="T54" s="152"/>
    </row>
    <row r="55" ht="16.5" customHeight="1">
      <c r="A55" s="167"/>
      <c r="B55" s="168"/>
      <c r="C55" s="167"/>
      <c r="J55" s="169"/>
      <c r="L55" s="151"/>
      <c r="M55" s="152"/>
      <c r="N55" s="152"/>
      <c r="O55" s="152"/>
      <c r="P55" s="152"/>
      <c r="Q55" s="152"/>
      <c r="R55" s="152"/>
      <c r="S55" s="152"/>
      <c r="T55" s="152"/>
    </row>
    <row r="56" ht="16.5" customHeight="1">
      <c r="A56" s="167"/>
      <c r="B56" s="168"/>
      <c r="C56" s="167"/>
      <c r="J56" s="169"/>
      <c r="L56" s="151"/>
      <c r="M56" s="152"/>
      <c r="N56" s="152"/>
      <c r="O56" s="152"/>
      <c r="P56" s="152"/>
      <c r="Q56" s="152"/>
      <c r="R56" s="152"/>
      <c r="S56" s="152"/>
      <c r="T56" s="152"/>
    </row>
    <row r="57" ht="16.5" customHeight="1">
      <c r="A57" s="167"/>
      <c r="B57" s="168"/>
      <c r="C57" s="167"/>
      <c r="J57" s="169"/>
      <c r="L57" s="151"/>
      <c r="M57" s="152"/>
      <c r="N57" s="152"/>
      <c r="O57" s="152"/>
      <c r="P57" s="152"/>
      <c r="Q57" s="152"/>
      <c r="R57" s="152"/>
      <c r="S57" s="152"/>
      <c r="T57" s="152"/>
    </row>
    <row r="58" ht="16.5" customHeight="1">
      <c r="A58" s="167"/>
      <c r="B58" s="168"/>
      <c r="C58" s="167"/>
      <c r="J58" s="169"/>
      <c r="L58" s="151"/>
      <c r="M58" s="152"/>
      <c r="N58" s="152"/>
      <c r="O58" s="152"/>
      <c r="P58" s="152"/>
      <c r="Q58" s="152"/>
      <c r="R58" s="152"/>
      <c r="S58" s="152"/>
      <c r="T58" s="152"/>
    </row>
    <row r="59" ht="16.5" customHeight="1">
      <c r="A59" s="167"/>
      <c r="B59" s="168"/>
      <c r="C59" s="167"/>
      <c r="J59" s="169"/>
      <c r="L59" s="151"/>
      <c r="M59" s="152"/>
      <c r="N59" s="152"/>
      <c r="O59" s="152"/>
      <c r="P59" s="152"/>
      <c r="Q59" s="152"/>
      <c r="R59" s="152"/>
      <c r="S59" s="152"/>
      <c r="T59" s="152"/>
    </row>
    <row r="60" ht="16.5" customHeight="1">
      <c r="A60" s="167"/>
      <c r="B60" s="168"/>
      <c r="C60" s="167"/>
      <c r="J60" s="169"/>
      <c r="L60" s="151"/>
      <c r="M60" s="152"/>
      <c r="N60" s="152"/>
      <c r="O60" s="152"/>
      <c r="P60" s="152"/>
      <c r="Q60" s="152"/>
      <c r="R60" s="152"/>
      <c r="S60" s="152"/>
      <c r="T60" s="152"/>
    </row>
    <row r="61" ht="18.0" customHeight="1">
      <c r="A61" s="167"/>
      <c r="B61" s="170" t="s">
        <v>71</v>
      </c>
      <c r="J61" s="169"/>
      <c r="K61" s="171" t="s">
        <v>72</v>
      </c>
      <c r="L61" s="171" t="s">
        <v>73</v>
      </c>
      <c r="M61" s="152"/>
      <c r="N61" s="152"/>
      <c r="O61" s="152"/>
      <c r="P61" s="152"/>
      <c r="Q61" s="152"/>
      <c r="R61" s="152"/>
      <c r="S61" s="152"/>
      <c r="T61" s="152"/>
    </row>
    <row r="62" ht="16.5" customHeight="1">
      <c r="A62" s="167"/>
      <c r="B62" s="168"/>
      <c r="C62" s="167"/>
      <c r="J62" s="169"/>
      <c r="L62" s="151"/>
      <c r="M62" s="152"/>
      <c r="N62" s="152"/>
      <c r="O62" s="152"/>
      <c r="P62" s="152"/>
      <c r="Q62" s="152"/>
      <c r="R62" s="152"/>
      <c r="S62" s="152"/>
      <c r="T62" s="152"/>
    </row>
    <row r="63" ht="16.5" customHeight="1">
      <c r="A63" s="167"/>
      <c r="B63" s="168"/>
      <c r="C63" s="167"/>
      <c r="J63" s="169"/>
      <c r="L63" s="151"/>
      <c r="M63" s="152"/>
      <c r="N63" s="152"/>
      <c r="O63" s="152"/>
      <c r="P63" s="152"/>
      <c r="Q63" s="152"/>
      <c r="R63" s="152"/>
      <c r="S63" s="152"/>
      <c r="T63" s="152"/>
    </row>
    <row r="64" ht="16.5" customHeight="1">
      <c r="A64" s="167"/>
      <c r="B64" s="168"/>
      <c r="C64" s="167"/>
      <c r="J64" s="169"/>
      <c r="L64" s="151"/>
      <c r="M64" s="152"/>
      <c r="N64" s="152"/>
      <c r="O64" s="152"/>
      <c r="P64" s="152"/>
      <c r="Q64" s="152"/>
      <c r="R64" s="152"/>
      <c r="S64" s="152"/>
      <c r="T64" s="152"/>
    </row>
    <row r="65" ht="16.5" customHeight="1">
      <c r="A65" s="167"/>
      <c r="B65" s="168"/>
      <c r="C65" s="167"/>
      <c r="J65" s="169"/>
      <c r="L65" s="151"/>
      <c r="M65" s="152"/>
      <c r="N65" s="152"/>
      <c r="O65" s="152"/>
      <c r="P65" s="152"/>
      <c r="Q65" s="152"/>
      <c r="R65" s="152"/>
      <c r="S65" s="152"/>
      <c r="T65" s="152"/>
    </row>
    <row r="66" ht="16.5" customHeight="1">
      <c r="A66" s="167"/>
      <c r="B66" s="168"/>
      <c r="C66" s="167"/>
      <c r="J66" s="169"/>
      <c r="L66" s="151"/>
      <c r="M66" s="152"/>
      <c r="N66" s="152"/>
      <c r="O66" s="152"/>
      <c r="P66" s="152"/>
      <c r="Q66" s="152"/>
      <c r="R66" s="152"/>
      <c r="S66" s="152"/>
      <c r="T66" s="152"/>
    </row>
    <row r="67" ht="16.5" customHeight="1">
      <c r="A67" s="167"/>
      <c r="B67" s="168"/>
      <c r="C67" s="167"/>
      <c r="J67" s="169"/>
      <c r="L67" s="151"/>
      <c r="M67" s="152"/>
      <c r="N67" s="152"/>
      <c r="O67" s="152"/>
      <c r="P67" s="152"/>
      <c r="Q67" s="152"/>
      <c r="R67" s="152"/>
      <c r="S67" s="152"/>
      <c r="T67" s="152"/>
    </row>
    <row r="68" ht="16.5" customHeight="1">
      <c r="A68" s="167"/>
      <c r="B68" s="168"/>
      <c r="C68" s="167"/>
      <c r="J68" s="169"/>
      <c r="L68" s="151"/>
      <c r="M68" s="152"/>
      <c r="N68" s="152"/>
      <c r="O68" s="152"/>
      <c r="P68" s="152"/>
      <c r="Q68" s="152"/>
      <c r="R68" s="152"/>
      <c r="S68" s="152"/>
      <c r="T68" s="152"/>
    </row>
    <row r="69" ht="16.5" customHeight="1">
      <c r="A69" s="167"/>
      <c r="B69" s="168"/>
      <c r="C69" s="167"/>
      <c r="J69" s="169"/>
      <c r="L69" s="151"/>
      <c r="M69" s="152"/>
      <c r="N69" s="152"/>
      <c r="O69" s="152"/>
      <c r="P69" s="152"/>
      <c r="Q69" s="152"/>
      <c r="R69" s="152"/>
      <c r="S69" s="152"/>
      <c r="T69" s="152"/>
    </row>
    <row r="70" ht="16.5" customHeight="1">
      <c r="A70" s="167"/>
      <c r="B70" s="168"/>
      <c r="C70" s="167"/>
      <c r="J70" s="169"/>
      <c r="L70" s="151"/>
      <c r="M70" s="152"/>
      <c r="N70" s="152"/>
      <c r="O70" s="152"/>
      <c r="P70" s="152"/>
      <c r="Q70" s="152"/>
      <c r="R70" s="152"/>
      <c r="S70" s="152"/>
      <c r="T70" s="152"/>
    </row>
    <row r="71" ht="16.5" customHeight="1">
      <c r="A71" s="167"/>
      <c r="B71" s="168"/>
      <c r="C71" s="167"/>
      <c r="J71" s="169"/>
      <c r="L71" s="151"/>
      <c r="M71" s="152"/>
      <c r="N71" s="152"/>
      <c r="O71" s="152"/>
      <c r="P71" s="152"/>
      <c r="Q71" s="152"/>
      <c r="R71" s="152"/>
      <c r="S71" s="152"/>
      <c r="T71" s="152"/>
    </row>
    <row r="72" ht="16.5" customHeight="1">
      <c r="A72" s="167"/>
      <c r="B72" s="168"/>
      <c r="C72" s="167"/>
      <c r="J72" s="169"/>
      <c r="L72" s="151"/>
      <c r="M72" s="152"/>
      <c r="N72" s="152"/>
      <c r="O72" s="152"/>
      <c r="P72" s="152"/>
      <c r="Q72" s="152"/>
      <c r="R72" s="152"/>
      <c r="S72" s="152"/>
      <c r="T72" s="152"/>
    </row>
    <row r="73" ht="16.5" customHeight="1">
      <c r="A73" s="167"/>
      <c r="B73" s="168" t="s">
        <v>74</v>
      </c>
      <c r="C73" s="167"/>
      <c r="J73" s="169"/>
      <c r="L73" s="151"/>
      <c r="M73" s="152"/>
      <c r="N73" s="152"/>
      <c r="O73" s="152"/>
      <c r="P73" s="152"/>
      <c r="Q73" s="152"/>
      <c r="R73" s="152"/>
      <c r="S73" s="152"/>
      <c r="T73" s="152"/>
    </row>
    <row r="74" ht="20.25" customHeight="1">
      <c r="B74" s="172" t="str">
        <f>CONCATENATE("Speaker 1. ", "(", parameters!I2,") ",parameters!H2)</f>
        <v>Speaker 1. (MS) L5P2</v>
      </c>
      <c r="C74" s="172"/>
      <c r="D74" s="172"/>
      <c r="E74" s="172" t="s">
        <v>75</v>
      </c>
      <c r="F74" s="172" t="str">
        <f>parameters!E2</f>
        <v>High Performance Leadership</v>
      </c>
      <c r="G74" s="172"/>
      <c r="H74" s="172"/>
      <c r="I74" s="172"/>
      <c r="J74" s="173"/>
      <c r="K74" s="172"/>
      <c r="L74" s="172"/>
    </row>
    <row r="75" ht="19.5" customHeight="1">
      <c r="B75" s="174" t="s">
        <v>76</v>
      </c>
    </row>
    <row r="76" ht="51.0" customHeight="1">
      <c r="B76" s="175" t="s">
        <v>77</v>
      </c>
      <c r="C76" s="176"/>
      <c r="D76" s="176"/>
      <c r="E76" s="176"/>
      <c r="F76" s="176"/>
      <c r="G76" s="176"/>
      <c r="H76" s="176"/>
      <c r="I76" s="176"/>
      <c r="J76" s="176"/>
      <c r="K76" s="176"/>
      <c r="L76" s="176"/>
      <c r="M76" s="177"/>
    </row>
    <row r="77" ht="14.25" customHeight="1">
      <c r="B77" s="178"/>
      <c r="C77" s="179"/>
      <c r="D77" s="179"/>
      <c r="E77" s="179"/>
      <c r="F77" s="179"/>
      <c r="G77" s="179"/>
      <c r="H77" s="179"/>
      <c r="I77" s="179"/>
      <c r="J77" s="180"/>
      <c r="K77" s="179"/>
      <c r="L77" s="151"/>
    </row>
    <row r="78">
      <c r="B78" s="172" t="str">
        <f>CONCATENATE("Speaker 2. ", "(", parameters!I3,") ",parameters!H3)</f>
        <v>Speaker 2. (PM) L1P1</v>
      </c>
      <c r="C78" s="179"/>
      <c r="D78" s="181"/>
      <c r="E78" s="181" t="s">
        <v>75</v>
      </c>
      <c r="F78" s="172" t="str">
        <f>parameters!E3</f>
        <v>Ice Breaker</v>
      </c>
      <c r="G78" s="181"/>
      <c r="H78" s="181"/>
      <c r="I78" s="181"/>
      <c r="J78" s="180"/>
      <c r="K78" s="179"/>
      <c r="L78" s="151"/>
    </row>
    <row r="79" ht="19.5" customHeight="1">
      <c r="B79" s="182" t="s">
        <v>76</v>
      </c>
    </row>
    <row r="80">
      <c r="B80" s="176" t="s">
        <v>78</v>
      </c>
    </row>
    <row r="81">
      <c r="B81" s="176"/>
      <c r="C81" s="176"/>
      <c r="D81" s="176"/>
      <c r="E81" s="176"/>
      <c r="F81" s="176"/>
      <c r="G81" s="176"/>
      <c r="H81" s="176"/>
      <c r="I81" s="176"/>
      <c r="J81" s="176"/>
      <c r="K81" s="176"/>
      <c r="L81" s="176"/>
    </row>
    <row r="82" ht="20.25" hidden="1" customHeight="1">
      <c r="B82" s="172" t="str">
        <f>CONCATENATE("Speaker 3. ", "(", parameters!I4,") ",parameters!H4)</f>
        <v>Speaker 3. () </v>
      </c>
      <c r="C82" s="183"/>
      <c r="D82" s="183"/>
      <c r="E82" s="181" t="s">
        <v>75</v>
      </c>
      <c r="F82" s="184" t="str">
        <f>parameters!E4</f>
        <v/>
      </c>
      <c r="G82" s="183"/>
      <c r="H82" s="183"/>
      <c r="I82" s="183"/>
      <c r="J82" s="183"/>
      <c r="K82" s="183"/>
      <c r="L82" s="183"/>
    </row>
    <row r="83" ht="29.25" hidden="1" customHeight="1">
      <c r="A83" s="185"/>
      <c r="B83" s="186" t="s">
        <v>79</v>
      </c>
      <c r="C83" s="187"/>
      <c r="D83" s="181"/>
      <c r="G83" s="181"/>
      <c r="H83" s="181"/>
      <c r="I83" s="181"/>
      <c r="J83" s="188"/>
      <c r="K83" s="187"/>
      <c r="L83" s="189"/>
    </row>
    <row r="84" ht="16.5" hidden="1" customHeight="1">
      <c r="A84" s="185"/>
      <c r="B84" s="190" t="s">
        <v>76</v>
      </c>
    </row>
    <row r="85" ht="18.0" hidden="1" customHeight="1">
      <c r="B85" s="176" t="s">
        <v>80</v>
      </c>
      <c r="L85" s="176"/>
    </row>
    <row r="86" ht="26.25" customHeight="1">
      <c r="B86" s="183"/>
      <c r="C86" s="179"/>
      <c r="D86" s="179"/>
      <c r="E86" s="179"/>
      <c r="F86" s="179"/>
      <c r="G86" s="179"/>
      <c r="H86" s="179"/>
      <c r="I86" s="179"/>
      <c r="J86" s="180"/>
      <c r="K86" s="179"/>
      <c r="L86" s="151"/>
    </row>
    <row r="87" ht="26.25" customHeight="1">
      <c r="B87" s="179"/>
      <c r="C87" s="179"/>
      <c r="D87" s="179"/>
      <c r="E87" s="179"/>
      <c r="F87" s="179"/>
      <c r="G87" s="179"/>
      <c r="H87" s="179"/>
      <c r="I87" s="179"/>
      <c r="J87" s="180"/>
      <c r="K87" s="179"/>
      <c r="L87" s="151"/>
    </row>
    <row r="88" ht="26.25" customHeight="1">
      <c r="B88" s="179"/>
      <c r="C88" s="179"/>
      <c r="D88" s="179"/>
      <c r="E88" s="179"/>
      <c r="F88" s="179"/>
      <c r="G88" s="179"/>
      <c r="H88" s="179"/>
      <c r="I88" s="179"/>
      <c r="J88" s="180"/>
      <c r="K88" s="179"/>
      <c r="L88" s="151"/>
    </row>
    <row r="89" ht="26.25" customHeight="1">
      <c r="B89" s="179"/>
      <c r="C89" s="179"/>
      <c r="D89" s="179"/>
      <c r="E89" s="179"/>
      <c r="F89" s="179"/>
      <c r="G89" s="179"/>
      <c r="H89" s="179"/>
      <c r="I89" s="179"/>
      <c r="J89" s="180"/>
      <c r="K89" s="179"/>
      <c r="L89" s="151"/>
    </row>
    <row r="90" ht="26.25" customHeight="1">
      <c r="B90" s="179"/>
      <c r="C90" s="179"/>
      <c r="D90" s="179"/>
      <c r="E90" s="179"/>
      <c r="F90" s="179"/>
      <c r="G90" s="179"/>
      <c r="H90" s="179"/>
      <c r="I90" s="179"/>
      <c r="J90" s="180"/>
      <c r="K90" s="179"/>
      <c r="L90" s="151"/>
    </row>
    <row r="91" ht="26.25" customHeight="1">
      <c r="B91" s="179"/>
      <c r="C91" s="179"/>
      <c r="D91" s="179"/>
      <c r="E91" s="179"/>
      <c r="F91" s="179"/>
      <c r="G91" s="179"/>
      <c r="H91" s="179"/>
      <c r="I91" s="179"/>
      <c r="J91" s="180"/>
      <c r="K91" s="179"/>
      <c r="L91" s="151"/>
    </row>
    <row r="92" ht="26.25" customHeight="1">
      <c r="B92" s="179"/>
      <c r="C92" s="179"/>
      <c r="D92" s="179"/>
      <c r="E92" s="179"/>
      <c r="F92" s="179"/>
      <c r="G92" s="179"/>
      <c r="H92" s="179"/>
      <c r="I92" s="179"/>
      <c r="J92" s="180"/>
      <c r="K92" s="179"/>
      <c r="L92" s="151"/>
    </row>
    <row r="93" ht="26.25" customHeight="1">
      <c r="B93" s="179"/>
      <c r="C93" s="179"/>
      <c r="D93" s="179"/>
      <c r="E93" s="179"/>
      <c r="F93" s="179"/>
      <c r="G93" s="179"/>
      <c r="H93" s="179"/>
      <c r="I93" s="179"/>
      <c r="J93" s="180"/>
      <c r="K93" s="179"/>
      <c r="L93" s="151"/>
    </row>
    <row r="94" ht="26.25" customHeight="1">
      <c r="B94" s="179"/>
      <c r="C94" s="179"/>
      <c r="D94" s="179"/>
      <c r="E94" s="179"/>
      <c r="F94" s="179"/>
      <c r="G94" s="179"/>
      <c r="H94" s="179"/>
      <c r="I94" s="179"/>
      <c r="J94" s="180"/>
      <c r="K94" s="179"/>
      <c r="L94" s="151"/>
    </row>
    <row r="95" ht="26.25" customHeight="1">
      <c r="B95" s="179"/>
      <c r="C95" s="179"/>
      <c r="D95" s="179"/>
      <c r="E95" s="179"/>
      <c r="F95" s="179"/>
      <c r="G95" s="179"/>
      <c r="H95" s="179"/>
      <c r="I95" s="179"/>
      <c r="J95" s="180"/>
      <c r="K95" s="179"/>
      <c r="L95" s="151"/>
    </row>
    <row r="96" ht="26.25" customHeight="1">
      <c r="B96" s="179"/>
      <c r="C96" s="179"/>
      <c r="D96" s="179"/>
      <c r="E96" s="179"/>
      <c r="F96" s="179"/>
      <c r="G96" s="179"/>
      <c r="H96" s="179"/>
      <c r="I96" s="179"/>
      <c r="J96" s="180"/>
      <c r="K96" s="179"/>
      <c r="L96" s="151"/>
    </row>
    <row r="97" ht="26.25" customHeight="1">
      <c r="B97" s="179"/>
      <c r="C97" s="179"/>
      <c r="D97" s="179"/>
      <c r="E97" s="179"/>
      <c r="F97" s="179"/>
      <c r="G97" s="179"/>
      <c r="H97" s="179"/>
      <c r="I97" s="179"/>
      <c r="J97" s="180"/>
      <c r="K97" s="179"/>
      <c r="L97" s="151"/>
    </row>
    <row r="98" ht="26.25" customHeight="1">
      <c r="B98" s="179"/>
      <c r="C98" s="179"/>
      <c r="D98" s="179"/>
      <c r="E98" s="179"/>
      <c r="F98" s="179"/>
      <c r="G98" s="179"/>
      <c r="H98" s="179"/>
      <c r="I98" s="179"/>
      <c r="J98" s="180"/>
      <c r="K98" s="179"/>
      <c r="L98" s="151"/>
    </row>
    <row r="99" ht="42.0" customHeight="1">
      <c r="B99" s="179"/>
      <c r="C99" s="179"/>
      <c r="D99" s="179"/>
      <c r="E99" s="179"/>
      <c r="F99" s="179"/>
      <c r="G99" s="179"/>
      <c r="H99" s="179"/>
      <c r="I99" s="179"/>
      <c r="J99" s="180"/>
      <c r="K99" s="179"/>
      <c r="L99" s="151"/>
    </row>
    <row r="100" ht="29.25" customHeight="1">
      <c r="B100" s="191" t="s">
        <v>81</v>
      </c>
      <c r="C100" s="192"/>
      <c r="D100" s="192"/>
      <c r="E100" s="192"/>
      <c r="F100" s="192"/>
      <c r="G100" s="192"/>
      <c r="H100" s="192"/>
      <c r="I100" s="192"/>
      <c r="J100" s="192"/>
      <c r="K100" s="147"/>
      <c r="L100" s="151"/>
    </row>
    <row r="101" ht="21.75" customHeight="1">
      <c r="B101" s="193" t="s">
        <v>19</v>
      </c>
      <c r="C101" s="117"/>
      <c r="D101" s="194"/>
      <c r="E101" s="195"/>
      <c r="F101" s="196" t="s">
        <v>82</v>
      </c>
      <c r="G101" s="118"/>
      <c r="H101" s="197" t="s">
        <v>17</v>
      </c>
      <c r="I101" s="118"/>
      <c r="J101" s="198" t="s">
        <v>83</v>
      </c>
      <c r="K101" s="199"/>
      <c r="L101" s="151"/>
    </row>
    <row r="102" ht="21.75" customHeight="1">
      <c r="B102" s="200" t="s">
        <v>84</v>
      </c>
      <c r="C102" s="125"/>
      <c r="D102" s="201"/>
      <c r="E102" s="202"/>
      <c r="F102" s="203" t="s">
        <v>85</v>
      </c>
      <c r="G102" s="120"/>
      <c r="H102" s="197" t="s">
        <v>86</v>
      </c>
      <c r="I102" s="118"/>
      <c r="J102" s="198" t="s">
        <v>87</v>
      </c>
      <c r="K102" s="204"/>
      <c r="L102" s="151"/>
    </row>
    <row r="103" ht="21.75" customHeight="1">
      <c r="B103" s="205" t="s">
        <v>88</v>
      </c>
      <c r="C103" s="125"/>
      <c r="D103" s="201"/>
      <c r="E103" s="206"/>
      <c r="F103" s="207" t="s">
        <v>89</v>
      </c>
      <c r="G103" s="120"/>
      <c r="H103" s="208" t="s">
        <v>90</v>
      </c>
      <c r="I103" s="118"/>
      <c r="J103" s="209" t="s">
        <v>91</v>
      </c>
      <c r="K103" s="210"/>
      <c r="L103" s="151"/>
    </row>
    <row r="104" ht="21.75" customHeight="1">
      <c r="B104" s="200" t="s">
        <v>92</v>
      </c>
      <c r="C104" s="125"/>
      <c r="D104" s="201"/>
      <c r="E104" s="202"/>
      <c r="F104" s="203" t="s">
        <v>93</v>
      </c>
      <c r="G104" s="120"/>
      <c r="H104" s="197" t="s">
        <v>94</v>
      </c>
      <c r="I104" s="118"/>
      <c r="J104" s="198" t="s">
        <v>95</v>
      </c>
      <c r="K104" s="199"/>
      <c r="L104" s="151"/>
    </row>
    <row r="105" ht="21.75" customHeight="1">
      <c r="B105" s="200" t="s">
        <v>96</v>
      </c>
      <c r="C105" s="125"/>
      <c r="D105" s="201"/>
      <c r="E105" s="202"/>
      <c r="F105" s="203" t="s">
        <v>97</v>
      </c>
      <c r="G105" s="120"/>
      <c r="H105" s="211" t="s">
        <v>98</v>
      </c>
      <c r="I105" s="120"/>
      <c r="J105" s="198" t="s">
        <v>99</v>
      </c>
      <c r="K105" s="204"/>
      <c r="L105" s="151"/>
    </row>
    <row r="106" ht="21.75" customHeight="1">
      <c r="B106" s="200" t="s">
        <v>100</v>
      </c>
      <c r="C106" s="125"/>
      <c r="D106" s="201"/>
      <c r="E106" s="202"/>
      <c r="F106" s="203" t="s">
        <v>101</v>
      </c>
      <c r="G106" s="120"/>
      <c r="H106" s="211" t="s">
        <v>102</v>
      </c>
      <c r="I106" s="120"/>
      <c r="J106" s="198" t="s">
        <v>103</v>
      </c>
      <c r="K106" s="212"/>
      <c r="L106" s="151"/>
    </row>
    <row r="107" ht="21.75" customHeight="1">
      <c r="B107" s="200" t="s">
        <v>104</v>
      </c>
      <c r="C107" s="125"/>
      <c r="D107" s="201"/>
      <c r="E107" s="202"/>
      <c r="F107" s="203" t="s">
        <v>105</v>
      </c>
      <c r="G107" s="120"/>
      <c r="H107" s="211" t="s">
        <v>106</v>
      </c>
      <c r="I107" s="120"/>
      <c r="J107" s="198" t="s">
        <v>107</v>
      </c>
      <c r="K107" s="204"/>
      <c r="L107" s="151"/>
    </row>
    <row r="108" ht="21.75" customHeight="1">
      <c r="B108" s="200" t="s">
        <v>108</v>
      </c>
      <c r="C108" s="125"/>
      <c r="D108" s="201"/>
      <c r="E108" s="202"/>
      <c r="F108" s="203" t="s">
        <v>109</v>
      </c>
      <c r="G108" s="120"/>
      <c r="H108" s="197" t="s">
        <v>110</v>
      </c>
      <c r="I108" s="118"/>
      <c r="J108" s="198" t="s">
        <v>111</v>
      </c>
      <c r="K108" s="199"/>
      <c r="L108" s="151"/>
      <c r="M108" s="213"/>
      <c r="N108" s="213"/>
      <c r="O108" s="214"/>
      <c r="P108" s="214"/>
      <c r="Q108" s="215"/>
      <c r="R108" s="214"/>
      <c r="S108" s="216"/>
      <c r="T108" s="216"/>
    </row>
    <row r="109" ht="21.75" customHeight="1">
      <c r="B109" s="217" t="s">
        <v>112</v>
      </c>
      <c r="C109" s="74"/>
      <c r="D109" s="218"/>
      <c r="E109" s="219"/>
      <c r="F109" s="220" t="s">
        <v>113</v>
      </c>
      <c r="G109" s="161"/>
      <c r="H109" s="221" t="s">
        <v>114</v>
      </c>
      <c r="I109" s="161"/>
      <c r="J109" s="222" t="s">
        <v>115</v>
      </c>
      <c r="K109" s="223"/>
      <c r="L109" s="151"/>
      <c r="M109" s="213"/>
      <c r="N109" s="213"/>
      <c r="O109" s="214"/>
      <c r="P109" s="214"/>
      <c r="Q109" s="215"/>
      <c r="R109" s="214"/>
      <c r="S109" s="216"/>
      <c r="T109" s="216"/>
    </row>
    <row r="110" ht="11.25" customHeight="1">
      <c r="B110" s="142"/>
      <c r="J110" s="169"/>
      <c r="L110" s="151"/>
      <c r="M110" s="213"/>
      <c r="N110" s="213"/>
      <c r="O110" s="214"/>
      <c r="P110" s="214"/>
      <c r="Q110" s="215"/>
      <c r="R110" s="214"/>
      <c r="S110" s="216"/>
      <c r="T110" s="216"/>
    </row>
    <row r="111" ht="21.75" customHeight="1">
      <c r="B111" s="224" t="b">
        <v>0</v>
      </c>
      <c r="C111" s="167" t="s">
        <v>116</v>
      </c>
      <c r="D111" s="225"/>
      <c r="E111" s="225"/>
      <c r="F111" s="225"/>
      <c r="G111" s="225"/>
      <c r="H111" s="225"/>
      <c r="I111" s="225"/>
      <c r="J111" s="226"/>
      <c r="K111" s="225"/>
      <c r="L111" s="151"/>
    </row>
    <row r="112" ht="33.0" customHeight="1">
      <c r="B112" s="227" t="b">
        <v>0</v>
      </c>
      <c r="C112" s="167" t="s">
        <v>117</v>
      </c>
      <c r="D112" s="225"/>
      <c r="E112" s="225"/>
      <c r="F112" s="225"/>
      <c r="G112" s="225"/>
      <c r="H112" s="225"/>
      <c r="I112" s="225"/>
      <c r="J112" s="226"/>
      <c r="K112" s="225"/>
      <c r="L112" s="151"/>
    </row>
    <row r="113" ht="25.5" customHeight="1">
      <c r="B113" s="228" t="s">
        <v>118</v>
      </c>
      <c r="C113" s="22"/>
      <c r="D113" s="23"/>
      <c r="E113" s="229"/>
      <c r="F113" s="230"/>
      <c r="G113" s="22"/>
      <c r="H113" s="23"/>
      <c r="I113" s="231" t="s">
        <v>119</v>
      </c>
      <c r="J113" s="232"/>
      <c r="K113" s="23"/>
      <c r="L113" s="151"/>
    </row>
    <row r="114" ht="26.25" customHeight="1">
      <c r="B114" s="228" t="s">
        <v>120</v>
      </c>
      <c r="C114" s="22"/>
      <c r="D114" s="23"/>
      <c r="E114" s="229"/>
      <c r="F114" s="230"/>
      <c r="G114" s="22"/>
      <c r="H114" s="22"/>
      <c r="I114" s="22"/>
      <c r="J114" s="22"/>
      <c r="K114" s="23"/>
      <c r="L114" s="151"/>
    </row>
    <row r="115" ht="33.0" customHeight="1">
      <c r="B115" s="233" t="s">
        <v>121</v>
      </c>
      <c r="C115" s="22"/>
      <c r="D115" s="23"/>
      <c r="E115" s="229"/>
      <c r="F115" s="230"/>
      <c r="G115" s="22"/>
      <c r="H115" s="22"/>
      <c r="I115" s="22"/>
      <c r="J115" s="22"/>
      <c r="K115" s="23"/>
      <c r="L115" s="151"/>
    </row>
    <row r="116" ht="16.5" customHeight="1">
      <c r="B116" s="142"/>
      <c r="C116" s="234" t="s">
        <v>122</v>
      </c>
      <c r="J116" s="169"/>
      <c r="L116" s="151"/>
    </row>
    <row r="117" ht="16.5" customHeight="1">
      <c r="B117" s="142"/>
      <c r="C117" s="235" t="s">
        <v>123</v>
      </c>
      <c r="J117" s="169"/>
      <c r="L117" s="151"/>
    </row>
    <row r="118" ht="16.5" customHeight="1">
      <c r="B118" s="142"/>
      <c r="C118" s="235" t="s">
        <v>124</v>
      </c>
      <c r="J118" s="169"/>
      <c r="L118" s="151"/>
    </row>
    <row r="119" ht="16.5" customHeight="1">
      <c r="B119" s="142"/>
      <c r="J119" s="169"/>
      <c r="L119" s="151"/>
    </row>
    <row r="120" ht="16.5" customHeight="1">
      <c r="B120" s="142"/>
      <c r="J120" s="169"/>
      <c r="L120" s="151"/>
    </row>
    <row r="121" ht="16.5" customHeight="1">
      <c r="B121" s="142"/>
      <c r="J121" s="169"/>
      <c r="L121" s="151"/>
    </row>
    <row r="122" ht="16.5" customHeight="1">
      <c r="B122" s="142"/>
      <c r="J122" s="169"/>
      <c r="L122" s="151"/>
    </row>
    <row r="123" ht="16.5" customHeight="1">
      <c r="B123" s="142"/>
      <c r="J123" s="169"/>
      <c r="L123" s="151"/>
    </row>
    <row r="124" ht="16.5" customHeight="1">
      <c r="B124" s="142"/>
      <c r="J124" s="169"/>
      <c r="L124" s="151"/>
    </row>
    <row r="125" ht="16.5" customHeight="1">
      <c r="B125" s="142"/>
      <c r="J125" s="169"/>
      <c r="L125" s="151"/>
    </row>
    <row r="126" ht="16.5" customHeight="1">
      <c r="B126" s="142"/>
      <c r="J126" s="169"/>
      <c r="L126" s="151"/>
    </row>
    <row r="127" ht="16.5" customHeight="1">
      <c r="B127" s="142"/>
      <c r="J127" s="169"/>
      <c r="L127" s="151"/>
    </row>
    <row r="128" ht="16.5" customHeight="1">
      <c r="B128" s="142"/>
      <c r="J128" s="169"/>
      <c r="L128" s="151"/>
    </row>
    <row r="129" ht="16.5" customHeight="1">
      <c r="B129" s="142"/>
      <c r="J129" s="169"/>
      <c r="L129" s="151"/>
    </row>
    <row r="130" ht="16.5" customHeight="1">
      <c r="B130" s="142"/>
      <c r="J130" s="169"/>
      <c r="L130" s="151"/>
    </row>
    <row r="131" ht="16.5" customHeight="1">
      <c r="B131" s="142"/>
      <c r="J131" s="169"/>
      <c r="L131" s="151"/>
    </row>
    <row r="132" ht="16.5" customHeight="1">
      <c r="B132" s="142"/>
      <c r="J132" s="169"/>
      <c r="L132" s="151"/>
    </row>
    <row r="133" ht="16.5" customHeight="1">
      <c r="B133" s="142"/>
      <c r="J133" s="169"/>
      <c r="L133" s="151"/>
    </row>
    <row r="134" ht="16.5" customHeight="1">
      <c r="B134" s="142"/>
      <c r="J134" s="169"/>
      <c r="L134" s="151"/>
    </row>
    <row r="135" ht="16.5" customHeight="1">
      <c r="B135" s="142"/>
      <c r="J135" s="169"/>
      <c r="L135" s="151"/>
    </row>
    <row r="136" ht="16.5" customHeight="1">
      <c r="B136" s="142"/>
      <c r="J136" s="169"/>
      <c r="L136" s="151"/>
    </row>
    <row r="137" ht="16.5" customHeight="1">
      <c r="B137" s="142"/>
      <c r="J137" s="169"/>
      <c r="L137" s="151"/>
    </row>
    <row r="138" ht="16.5" customHeight="1">
      <c r="B138" s="142"/>
      <c r="J138" s="169"/>
      <c r="L138" s="151"/>
    </row>
    <row r="139" ht="16.5" customHeight="1">
      <c r="B139" s="142"/>
      <c r="J139" s="169"/>
      <c r="L139" s="151"/>
    </row>
    <row r="140" ht="16.5" customHeight="1">
      <c r="B140" s="142"/>
      <c r="J140" s="169"/>
      <c r="L140" s="151"/>
    </row>
    <row r="141" ht="16.5" customHeight="1">
      <c r="B141" s="142"/>
      <c r="J141" s="169"/>
      <c r="L141" s="151"/>
    </row>
    <row r="142" ht="16.5" customHeight="1">
      <c r="B142" s="142"/>
      <c r="J142" s="169"/>
      <c r="L142" s="151"/>
    </row>
    <row r="143" ht="16.5" customHeight="1">
      <c r="B143" s="142"/>
      <c r="J143" s="169"/>
      <c r="L143" s="151"/>
    </row>
    <row r="144" ht="16.5" customHeight="1">
      <c r="B144" s="142"/>
      <c r="J144" s="169"/>
      <c r="L144" s="151"/>
    </row>
    <row r="145" ht="16.5" customHeight="1">
      <c r="B145" s="142"/>
      <c r="J145" s="169"/>
      <c r="L145" s="151"/>
    </row>
    <row r="146" ht="16.5" customHeight="1">
      <c r="B146" s="142"/>
      <c r="J146" s="169"/>
      <c r="L146" s="151"/>
    </row>
    <row r="147" ht="16.5" customHeight="1">
      <c r="B147" s="142"/>
      <c r="J147" s="169"/>
      <c r="L147" s="151"/>
    </row>
    <row r="148" ht="16.5" customHeight="1">
      <c r="B148" s="142"/>
      <c r="J148" s="169"/>
      <c r="L148" s="151"/>
    </row>
    <row r="149" ht="16.5" customHeight="1">
      <c r="B149" s="142"/>
      <c r="J149" s="169"/>
      <c r="L149" s="151"/>
    </row>
    <row r="150" ht="16.5" customHeight="1">
      <c r="B150" s="142"/>
      <c r="J150" s="169"/>
      <c r="L150" s="151"/>
    </row>
    <row r="151" ht="16.5" customHeight="1">
      <c r="B151" s="142"/>
      <c r="J151" s="169"/>
      <c r="L151" s="151"/>
    </row>
    <row r="152" ht="16.5" customHeight="1">
      <c r="B152" s="142"/>
      <c r="J152" s="169"/>
      <c r="L152" s="151"/>
    </row>
    <row r="153" ht="16.5" customHeight="1">
      <c r="B153" s="142"/>
      <c r="J153" s="169"/>
      <c r="L153" s="151"/>
    </row>
    <row r="154" ht="16.5" customHeight="1">
      <c r="B154" s="142"/>
      <c r="J154" s="169"/>
      <c r="L154" s="151"/>
    </row>
    <row r="155" ht="16.5" customHeight="1">
      <c r="B155" s="142"/>
      <c r="J155" s="169"/>
      <c r="L155" s="151"/>
    </row>
    <row r="156" ht="16.5" customHeight="1">
      <c r="B156" s="142"/>
      <c r="J156" s="169"/>
      <c r="L156" s="151"/>
    </row>
    <row r="157" ht="16.5" customHeight="1">
      <c r="B157" s="142"/>
      <c r="J157" s="169"/>
      <c r="L157" s="151"/>
    </row>
    <row r="158" ht="16.5" customHeight="1">
      <c r="B158" s="142"/>
      <c r="J158" s="169"/>
      <c r="L158" s="151"/>
    </row>
    <row r="159" ht="16.5" customHeight="1">
      <c r="B159" s="142"/>
      <c r="J159" s="169"/>
      <c r="L159" s="151"/>
    </row>
    <row r="160" ht="16.5" customHeight="1">
      <c r="B160" s="142"/>
      <c r="J160" s="169"/>
      <c r="L160" s="151"/>
    </row>
    <row r="161" ht="16.5" customHeight="1">
      <c r="B161" s="142"/>
      <c r="J161" s="169"/>
      <c r="L161" s="151"/>
    </row>
    <row r="162" ht="16.5" customHeight="1">
      <c r="B162" s="142"/>
      <c r="J162" s="169"/>
      <c r="L162" s="151"/>
    </row>
    <row r="163" ht="16.5" customHeight="1">
      <c r="B163" s="142"/>
      <c r="J163" s="169"/>
      <c r="L163" s="151"/>
    </row>
    <row r="164" ht="16.5" customHeight="1">
      <c r="B164" s="142"/>
      <c r="J164" s="169"/>
      <c r="L164" s="151"/>
    </row>
    <row r="165" ht="16.5" customHeight="1">
      <c r="B165" s="142"/>
      <c r="J165" s="169"/>
      <c r="L165" s="151"/>
    </row>
    <row r="166" ht="16.5" customHeight="1">
      <c r="B166" s="142"/>
      <c r="J166" s="169"/>
      <c r="L166" s="151"/>
    </row>
    <row r="167" ht="16.5" customHeight="1">
      <c r="B167" s="142"/>
      <c r="J167" s="169"/>
      <c r="L167" s="151"/>
    </row>
    <row r="168" ht="16.5" customHeight="1">
      <c r="B168" s="142"/>
      <c r="J168" s="169"/>
      <c r="L168" s="151"/>
    </row>
    <row r="169" ht="16.5" customHeight="1">
      <c r="B169" s="142"/>
      <c r="J169" s="169"/>
      <c r="L169" s="151"/>
    </row>
    <row r="170" ht="16.5" customHeight="1">
      <c r="B170" s="142"/>
      <c r="J170" s="169"/>
      <c r="L170" s="151"/>
    </row>
    <row r="171" ht="16.5" customHeight="1">
      <c r="B171" s="142"/>
      <c r="J171" s="169"/>
      <c r="L171" s="151"/>
    </row>
    <row r="172" ht="16.5" customHeight="1">
      <c r="B172" s="142"/>
      <c r="J172" s="169"/>
      <c r="L172" s="151"/>
    </row>
    <row r="173" ht="16.5" customHeight="1">
      <c r="B173" s="142"/>
      <c r="J173" s="169"/>
      <c r="L173" s="151"/>
    </row>
    <row r="174" ht="16.5" customHeight="1">
      <c r="B174" s="142"/>
      <c r="J174" s="169"/>
      <c r="L174" s="151"/>
    </row>
    <row r="175" ht="16.5" customHeight="1">
      <c r="B175" s="142"/>
      <c r="J175" s="169"/>
      <c r="L175" s="151"/>
    </row>
    <row r="176" ht="16.5" customHeight="1">
      <c r="B176" s="142"/>
      <c r="J176" s="169"/>
      <c r="L176" s="151"/>
    </row>
    <row r="177" ht="16.5" customHeight="1">
      <c r="B177" s="142"/>
      <c r="J177" s="169"/>
      <c r="L177" s="151"/>
    </row>
    <row r="178" ht="16.5" customHeight="1">
      <c r="B178" s="142"/>
      <c r="J178" s="169"/>
      <c r="L178" s="151"/>
    </row>
    <row r="179" ht="16.5" customHeight="1">
      <c r="B179" s="142"/>
      <c r="J179" s="169"/>
      <c r="L179" s="151"/>
    </row>
    <row r="180" ht="16.5" customHeight="1">
      <c r="B180" s="142"/>
      <c r="J180" s="169"/>
      <c r="L180" s="151"/>
    </row>
    <row r="181" ht="16.5" customHeight="1">
      <c r="B181" s="142"/>
      <c r="J181" s="169"/>
      <c r="L181" s="151"/>
    </row>
    <row r="182" ht="16.5" customHeight="1">
      <c r="B182" s="142"/>
      <c r="J182" s="169"/>
      <c r="L182" s="151"/>
    </row>
    <row r="183" ht="16.5" customHeight="1">
      <c r="B183" s="142"/>
      <c r="J183" s="169"/>
      <c r="L183" s="151"/>
    </row>
    <row r="184" ht="16.5" customHeight="1">
      <c r="B184" s="142"/>
      <c r="J184" s="169"/>
      <c r="L184" s="151"/>
    </row>
    <row r="185" ht="16.5" customHeight="1">
      <c r="B185" s="142"/>
      <c r="J185" s="169"/>
      <c r="L185" s="151"/>
    </row>
    <row r="186" ht="16.5" customHeight="1">
      <c r="B186" s="142"/>
      <c r="J186" s="169"/>
      <c r="L186" s="151"/>
    </row>
    <row r="187" ht="16.5" customHeight="1">
      <c r="B187" s="142"/>
      <c r="J187" s="169"/>
      <c r="L187" s="151"/>
    </row>
    <row r="188" ht="16.5" customHeight="1">
      <c r="B188" s="142"/>
      <c r="J188" s="169"/>
      <c r="L188" s="151"/>
    </row>
    <row r="189" ht="16.5" customHeight="1">
      <c r="B189" s="142"/>
      <c r="J189" s="169"/>
      <c r="L189" s="151"/>
    </row>
    <row r="190" ht="16.5" customHeight="1">
      <c r="B190" s="142"/>
      <c r="J190" s="169"/>
      <c r="L190" s="151"/>
    </row>
    <row r="191" ht="16.5" customHeight="1">
      <c r="B191" s="142"/>
      <c r="J191" s="169"/>
      <c r="L191" s="151"/>
    </row>
    <row r="192" ht="16.5" customHeight="1">
      <c r="B192" s="142"/>
      <c r="J192" s="169"/>
      <c r="L192" s="151"/>
    </row>
    <row r="193" ht="16.5" customHeight="1">
      <c r="B193" s="142"/>
      <c r="J193" s="169"/>
      <c r="L193" s="151"/>
    </row>
    <row r="194" ht="16.5" customHeight="1">
      <c r="B194" s="142"/>
      <c r="J194" s="169"/>
      <c r="L194" s="151"/>
    </row>
    <row r="195" ht="16.5" customHeight="1">
      <c r="B195" s="142"/>
      <c r="J195" s="169"/>
      <c r="L195" s="151"/>
    </row>
    <row r="196" ht="16.5" customHeight="1">
      <c r="B196" s="142"/>
      <c r="J196" s="169"/>
      <c r="L196" s="151"/>
    </row>
    <row r="197" ht="16.5" customHeight="1">
      <c r="B197" s="142"/>
      <c r="J197" s="169"/>
      <c r="L197" s="151"/>
    </row>
    <row r="198" ht="16.5" customHeight="1">
      <c r="B198" s="142"/>
      <c r="J198" s="169"/>
      <c r="L198" s="151"/>
    </row>
    <row r="199" ht="16.5" customHeight="1">
      <c r="B199" s="142"/>
      <c r="J199" s="169"/>
      <c r="L199" s="151"/>
    </row>
    <row r="200" ht="16.5" customHeight="1">
      <c r="B200" s="142"/>
      <c r="J200" s="169"/>
      <c r="L200" s="151"/>
    </row>
    <row r="201" ht="16.5" customHeight="1">
      <c r="B201" s="142"/>
      <c r="J201" s="169"/>
      <c r="L201" s="151"/>
    </row>
    <row r="202" ht="16.5" customHeight="1">
      <c r="B202" s="142"/>
      <c r="J202" s="169"/>
      <c r="L202" s="151"/>
    </row>
    <row r="203" ht="16.5" customHeight="1">
      <c r="B203" s="142"/>
      <c r="J203" s="169"/>
      <c r="L203" s="151"/>
    </row>
    <row r="204" ht="16.5" customHeight="1">
      <c r="B204" s="142"/>
      <c r="J204" s="169"/>
      <c r="L204" s="151"/>
    </row>
    <row r="205" ht="16.5" customHeight="1">
      <c r="B205" s="142"/>
      <c r="J205" s="169"/>
      <c r="L205" s="151"/>
    </row>
    <row r="206" ht="16.5" customHeight="1">
      <c r="B206" s="142"/>
      <c r="J206" s="169"/>
      <c r="L206" s="151"/>
    </row>
    <row r="207" ht="16.5" customHeight="1">
      <c r="B207" s="142"/>
      <c r="J207" s="169"/>
      <c r="L207" s="151"/>
    </row>
    <row r="208" ht="16.5" customHeight="1">
      <c r="B208" s="142"/>
      <c r="J208" s="169"/>
      <c r="L208" s="151"/>
    </row>
    <row r="209" ht="16.5" customHeight="1">
      <c r="B209" s="142"/>
      <c r="J209" s="169"/>
      <c r="L209" s="151"/>
    </row>
    <row r="210" ht="16.5" customHeight="1">
      <c r="B210" s="142"/>
      <c r="J210" s="169"/>
      <c r="L210" s="151"/>
    </row>
    <row r="211" ht="16.5" customHeight="1">
      <c r="B211" s="142"/>
      <c r="J211" s="169"/>
      <c r="L211" s="151"/>
    </row>
    <row r="212" ht="16.5" customHeight="1">
      <c r="B212" s="142"/>
      <c r="J212" s="169"/>
      <c r="L212" s="151"/>
    </row>
    <row r="213" ht="16.5" customHeight="1">
      <c r="B213" s="142"/>
      <c r="J213" s="169"/>
      <c r="L213" s="151"/>
    </row>
    <row r="214" ht="16.5" customHeight="1">
      <c r="B214" s="142"/>
      <c r="J214" s="169"/>
      <c r="L214" s="151"/>
    </row>
    <row r="215" ht="16.5" customHeight="1">
      <c r="B215" s="142"/>
      <c r="J215" s="169"/>
      <c r="L215" s="151"/>
    </row>
    <row r="216" ht="16.5" customHeight="1">
      <c r="B216" s="142"/>
      <c r="J216" s="169"/>
      <c r="L216" s="151"/>
    </row>
    <row r="217" ht="16.5" customHeight="1">
      <c r="B217" s="142"/>
      <c r="J217" s="169"/>
      <c r="L217" s="151"/>
    </row>
    <row r="218" ht="16.5" customHeight="1">
      <c r="B218" s="142"/>
      <c r="J218" s="169"/>
      <c r="L218" s="151"/>
    </row>
    <row r="219" ht="16.5" customHeight="1">
      <c r="B219" s="142"/>
      <c r="J219" s="169"/>
      <c r="L219" s="151"/>
    </row>
    <row r="220" ht="16.5" customHeight="1">
      <c r="B220" s="142"/>
      <c r="J220" s="169"/>
      <c r="L220" s="151"/>
    </row>
    <row r="221" ht="16.5" customHeight="1">
      <c r="B221" s="142"/>
      <c r="J221" s="169"/>
      <c r="L221" s="151"/>
    </row>
    <row r="222" ht="16.5" customHeight="1">
      <c r="B222" s="142"/>
      <c r="J222" s="169"/>
      <c r="L222" s="151"/>
    </row>
    <row r="223" ht="16.5" customHeight="1">
      <c r="B223" s="142"/>
      <c r="J223" s="169"/>
      <c r="L223" s="151"/>
    </row>
    <row r="224" ht="16.5" customHeight="1">
      <c r="B224" s="142"/>
      <c r="J224" s="169"/>
      <c r="L224" s="151"/>
    </row>
    <row r="225" ht="16.5" customHeight="1">
      <c r="B225" s="142"/>
      <c r="J225" s="169"/>
      <c r="L225" s="151"/>
    </row>
    <row r="226" ht="16.5" customHeight="1">
      <c r="B226" s="142"/>
      <c r="J226" s="169"/>
      <c r="L226" s="151"/>
    </row>
    <row r="227" ht="16.5" customHeight="1">
      <c r="B227" s="142"/>
      <c r="J227" s="169"/>
      <c r="L227" s="151"/>
    </row>
    <row r="228" ht="16.5" customHeight="1">
      <c r="B228" s="142"/>
      <c r="J228" s="169"/>
      <c r="L228" s="151"/>
    </row>
    <row r="229" ht="16.5" customHeight="1">
      <c r="B229" s="142"/>
      <c r="J229" s="169"/>
      <c r="L229" s="151"/>
    </row>
    <row r="230" ht="16.5" customHeight="1">
      <c r="B230" s="142"/>
      <c r="J230" s="169"/>
      <c r="L230" s="151"/>
    </row>
    <row r="231" ht="16.5" customHeight="1">
      <c r="B231" s="142"/>
      <c r="J231" s="169"/>
      <c r="L231" s="151"/>
    </row>
    <row r="232" ht="16.5" customHeight="1">
      <c r="B232" s="142"/>
      <c r="J232" s="169"/>
      <c r="L232" s="151"/>
    </row>
    <row r="233" ht="16.5" customHeight="1">
      <c r="B233" s="142"/>
      <c r="J233" s="169"/>
      <c r="L233" s="151"/>
    </row>
    <row r="234" ht="16.5" customHeight="1">
      <c r="B234" s="142"/>
      <c r="J234" s="169"/>
      <c r="L234" s="151"/>
    </row>
    <row r="235" ht="16.5" customHeight="1">
      <c r="B235" s="142"/>
      <c r="J235" s="169"/>
      <c r="L235" s="151"/>
    </row>
    <row r="236" ht="16.5" customHeight="1">
      <c r="B236" s="142"/>
      <c r="J236" s="169"/>
      <c r="L236" s="151"/>
    </row>
    <row r="237" ht="16.5" customHeight="1">
      <c r="B237" s="142"/>
      <c r="J237" s="169"/>
      <c r="L237" s="151"/>
    </row>
    <row r="238" ht="16.5" customHeight="1">
      <c r="B238" s="142"/>
      <c r="J238" s="169"/>
      <c r="L238" s="151"/>
    </row>
    <row r="239" ht="16.5" customHeight="1">
      <c r="B239" s="142"/>
      <c r="J239" s="169"/>
      <c r="L239" s="151"/>
    </row>
    <row r="240" ht="16.5" customHeight="1">
      <c r="B240" s="142"/>
      <c r="J240" s="169"/>
      <c r="L240" s="151"/>
    </row>
    <row r="241" ht="16.5" customHeight="1">
      <c r="B241" s="142"/>
      <c r="J241" s="169"/>
      <c r="L241" s="151"/>
    </row>
    <row r="242" ht="16.5" customHeight="1">
      <c r="B242" s="142"/>
      <c r="J242" s="169"/>
      <c r="L242" s="151"/>
    </row>
    <row r="243" ht="16.5" customHeight="1">
      <c r="B243" s="142"/>
      <c r="J243" s="169"/>
      <c r="L243" s="151"/>
    </row>
    <row r="244" ht="16.5" customHeight="1">
      <c r="B244" s="142"/>
      <c r="J244" s="169"/>
      <c r="L244" s="151"/>
    </row>
    <row r="245" ht="16.5" customHeight="1">
      <c r="B245" s="142"/>
      <c r="J245" s="169"/>
      <c r="L245" s="151"/>
    </row>
    <row r="246" ht="16.5" customHeight="1">
      <c r="B246" s="142"/>
      <c r="J246" s="169"/>
      <c r="L246" s="151"/>
    </row>
    <row r="247" ht="16.5" customHeight="1">
      <c r="B247" s="142"/>
      <c r="J247" s="169"/>
      <c r="L247" s="151"/>
    </row>
    <row r="248" ht="16.5" customHeight="1">
      <c r="B248" s="142"/>
      <c r="J248" s="169"/>
      <c r="L248" s="151"/>
    </row>
    <row r="249" ht="16.5" customHeight="1">
      <c r="B249" s="142"/>
      <c r="J249" s="169"/>
      <c r="L249" s="151"/>
    </row>
    <row r="250" ht="16.5" customHeight="1">
      <c r="B250" s="142"/>
      <c r="J250" s="169"/>
      <c r="L250" s="151"/>
    </row>
    <row r="251" ht="16.5" customHeight="1">
      <c r="B251" s="142"/>
      <c r="J251" s="169"/>
      <c r="L251" s="151"/>
    </row>
    <row r="252" ht="16.5" customHeight="1">
      <c r="B252" s="142"/>
      <c r="J252" s="169"/>
      <c r="L252" s="151"/>
    </row>
    <row r="253" ht="16.5" customHeight="1">
      <c r="B253" s="142"/>
      <c r="J253" s="169"/>
      <c r="L253" s="151"/>
    </row>
    <row r="254" ht="16.5" customHeight="1">
      <c r="B254" s="142"/>
      <c r="J254" s="169"/>
      <c r="L254" s="151"/>
    </row>
    <row r="255" ht="16.5" customHeight="1">
      <c r="B255" s="142"/>
      <c r="J255" s="169"/>
      <c r="L255" s="151"/>
    </row>
    <row r="256" ht="16.5" customHeight="1">
      <c r="B256" s="142"/>
      <c r="J256" s="169"/>
      <c r="L256" s="151"/>
    </row>
    <row r="257" ht="16.5" customHeight="1">
      <c r="B257" s="142"/>
      <c r="J257" s="169"/>
      <c r="L257" s="151"/>
    </row>
    <row r="258" ht="16.5" customHeight="1">
      <c r="B258" s="142"/>
      <c r="J258" s="169"/>
      <c r="L258" s="151"/>
    </row>
    <row r="259" ht="16.5" customHeight="1">
      <c r="B259" s="142"/>
      <c r="J259" s="169"/>
      <c r="L259" s="151"/>
    </row>
    <row r="260" ht="16.5" customHeight="1">
      <c r="B260" s="142"/>
      <c r="J260" s="169"/>
      <c r="L260" s="151"/>
    </row>
    <row r="261" ht="16.5" customHeight="1">
      <c r="B261" s="142"/>
      <c r="J261" s="169"/>
      <c r="L261" s="151"/>
    </row>
    <row r="262" ht="16.5" customHeight="1">
      <c r="B262" s="142"/>
      <c r="J262" s="169"/>
      <c r="L262" s="151"/>
    </row>
    <row r="263" ht="16.5" customHeight="1">
      <c r="B263" s="142"/>
      <c r="J263" s="169"/>
      <c r="L263" s="151"/>
    </row>
    <row r="264" ht="16.5" customHeight="1">
      <c r="B264" s="142"/>
      <c r="J264" s="169"/>
      <c r="L264" s="151"/>
    </row>
    <row r="265" ht="16.5" customHeight="1">
      <c r="B265" s="142"/>
      <c r="J265" s="169"/>
      <c r="L265" s="151"/>
    </row>
    <row r="266" ht="16.5" customHeight="1">
      <c r="B266" s="142"/>
      <c r="J266" s="169"/>
      <c r="L266" s="151"/>
    </row>
    <row r="267" ht="16.5" customHeight="1">
      <c r="B267" s="142"/>
      <c r="J267" s="169"/>
      <c r="L267" s="151"/>
    </row>
    <row r="268" ht="16.5" customHeight="1">
      <c r="B268" s="142"/>
      <c r="J268" s="169"/>
      <c r="L268" s="151"/>
    </row>
    <row r="269" ht="16.5" customHeight="1">
      <c r="B269" s="142"/>
      <c r="J269" s="169"/>
      <c r="L269" s="151"/>
    </row>
    <row r="270" ht="16.5" customHeight="1">
      <c r="B270" s="142"/>
      <c r="J270" s="169"/>
      <c r="L270" s="151"/>
    </row>
    <row r="271" ht="16.5" customHeight="1">
      <c r="B271" s="142"/>
      <c r="J271" s="169"/>
      <c r="L271" s="151"/>
    </row>
    <row r="272" ht="16.5" customHeight="1">
      <c r="B272" s="142"/>
      <c r="J272" s="169"/>
      <c r="L272" s="151"/>
    </row>
    <row r="273" ht="16.5" customHeight="1">
      <c r="B273" s="142"/>
      <c r="J273" s="169"/>
      <c r="L273" s="151"/>
    </row>
    <row r="274" ht="16.5" customHeight="1">
      <c r="B274" s="142"/>
      <c r="J274" s="169"/>
      <c r="L274" s="151"/>
    </row>
    <row r="275" ht="16.5" customHeight="1">
      <c r="B275" s="142"/>
      <c r="J275" s="169"/>
      <c r="L275" s="151"/>
    </row>
    <row r="276" ht="16.5" customHeight="1">
      <c r="B276" s="142"/>
      <c r="J276" s="169"/>
      <c r="L276" s="151"/>
    </row>
    <row r="277" ht="16.5" customHeight="1">
      <c r="B277" s="142"/>
      <c r="J277" s="169"/>
      <c r="L277" s="151"/>
    </row>
    <row r="278" ht="16.5" customHeight="1">
      <c r="B278" s="142"/>
      <c r="J278" s="169"/>
      <c r="L278" s="151"/>
    </row>
    <row r="279" ht="16.5" customHeight="1">
      <c r="B279" s="142"/>
      <c r="J279" s="169"/>
      <c r="L279" s="151"/>
    </row>
    <row r="280" ht="16.5" customHeight="1">
      <c r="B280" s="142"/>
      <c r="J280" s="169"/>
      <c r="L280" s="151"/>
    </row>
    <row r="281" ht="16.5" customHeight="1">
      <c r="B281" s="142"/>
      <c r="J281" s="169"/>
      <c r="L281" s="151"/>
    </row>
    <row r="282" ht="16.5" customHeight="1">
      <c r="B282" s="142"/>
      <c r="J282" s="169"/>
      <c r="L282" s="151"/>
    </row>
    <row r="283" ht="16.5" customHeight="1">
      <c r="B283" s="142"/>
      <c r="J283" s="169"/>
      <c r="L283" s="151"/>
    </row>
    <row r="284" ht="16.5" customHeight="1">
      <c r="B284" s="142"/>
      <c r="J284" s="169"/>
      <c r="L284" s="151"/>
    </row>
    <row r="285" ht="16.5" customHeight="1">
      <c r="B285" s="142"/>
      <c r="J285" s="169"/>
      <c r="L285" s="151"/>
    </row>
    <row r="286" ht="16.5" customHeight="1">
      <c r="B286" s="142"/>
      <c r="J286" s="169"/>
      <c r="L286" s="151"/>
    </row>
    <row r="287" ht="16.5" customHeight="1">
      <c r="B287" s="142"/>
      <c r="J287" s="169"/>
      <c r="L287" s="151"/>
    </row>
    <row r="288" ht="16.5" customHeight="1">
      <c r="B288" s="142"/>
      <c r="J288" s="169"/>
      <c r="L288" s="151"/>
    </row>
    <row r="289" ht="16.5" customHeight="1">
      <c r="B289" s="142"/>
      <c r="J289" s="169"/>
      <c r="L289" s="151"/>
    </row>
    <row r="290" ht="16.5" customHeight="1">
      <c r="B290" s="142"/>
      <c r="J290" s="169"/>
      <c r="L290" s="151"/>
    </row>
    <row r="291" ht="16.5" customHeight="1">
      <c r="B291" s="142"/>
      <c r="J291" s="169"/>
    </row>
    <row r="292" ht="16.5" customHeight="1">
      <c r="B292" s="142"/>
      <c r="J292" s="169"/>
    </row>
    <row r="293" ht="16.5" customHeight="1">
      <c r="B293" s="142"/>
      <c r="J293" s="169"/>
    </row>
    <row r="294" ht="16.5" customHeight="1">
      <c r="B294" s="142"/>
      <c r="J294" s="169"/>
    </row>
    <row r="295" ht="16.5" customHeight="1">
      <c r="B295" s="142"/>
      <c r="J295" s="169"/>
    </row>
    <row r="296" ht="16.5" customHeight="1">
      <c r="B296" s="142"/>
      <c r="J296" s="169"/>
    </row>
    <row r="297" ht="15.75" customHeight="1">
      <c r="B297" s="142"/>
      <c r="J297" s="169"/>
    </row>
    <row r="298" ht="15.75" customHeight="1">
      <c r="B298" s="142"/>
      <c r="J298" s="169"/>
    </row>
    <row r="299" ht="15.75" customHeight="1">
      <c r="B299" s="142"/>
      <c r="J299" s="169"/>
    </row>
    <row r="300" ht="15.75" customHeight="1">
      <c r="B300" s="142"/>
      <c r="J300" s="169"/>
    </row>
    <row r="301" ht="15.75" customHeight="1">
      <c r="B301" s="142"/>
      <c r="J301" s="169"/>
    </row>
    <row r="302" ht="15.75" customHeight="1">
      <c r="B302" s="142"/>
      <c r="J302" s="169"/>
    </row>
    <row r="303" ht="15.75" customHeight="1">
      <c r="B303" s="142"/>
      <c r="J303" s="169"/>
    </row>
    <row r="304" ht="15.75" customHeight="1">
      <c r="B304" s="142"/>
      <c r="J304" s="169"/>
    </row>
    <row r="305" ht="15.75" customHeight="1">
      <c r="B305" s="142"/>
      <c r="J305" s="169"/>
    </row>
    <row r="306" ht="15.75" customHeight="1">
      <c r="B306" s="142"/>
      <c r="J306" s="169"/>
    </row>
    <row r="307" ht="15.75" customHeight="1">
      <c r="B307" s="142"/>
      <c r="J307" s="169"/>
    </row>
    <row r="308" ht="15.75" customHeight="1">
      <c r="B308" s="142"/>
      <c r="J308" s="169"/>
    </row>
    <row r="309" ht="15.75" customHeight="1">
      <c r="B309" s="142"/>
      <c r="J309" s="169"/>
    </row>
    <row r="310" ht="15.75" customHeight="1">
      <c r="B310" s="142"/>
      <c r="J310" s="169"/>
    </row>
    <row r="311" ht="15.75" customHeight="1">
      <c r="B311" s="142"/>
      <c r="J311" s="169"/>
    </row>
    <row r="312" ht="15.75" customHeight="1">
      <c r="B312" s="142"/>
      <c r="J312" s="169"/>
    </row>
    <row r="313" ht="15.75" customHeight="1">
      <c r="B313" s="142"/>
      <c r="J313" s="169"/>
    </row>
    <row r="314" ht="15.75" customHeight="1">
      <c r="B314" s="142"/>
      <c r="J314" s="169"/>
    </row>
    <row r="315" ht="15.75" customHeight="1">
      <c r="B315" s="142"/>
      <c r="J315" s="169"/>
    </row>
    <row r="316" ht="15.75" customHeight="1">
      <c r="B316" s="142"/>
      <c r="J316" s="169"/>
    </row>
    <row r="317" ht="15.75" customHeight="1">
      <c r="B317" s="142"/>
      <c r="J317" s="169"/>
    </row>
    <row r="318" ht="15.75" customHeight="1">
      <c r="B318" s="142"/>
      <c r="J318" s="169"/>
    </row>
    <row r="319" ht="15.75" customHeight="1">
      <c r="B319" s="142"/>
      <c r="J319" s="169"/>
    </row>
    <row r="320" ht="15.75" customHeight="1">
      <c r="B320" s="142"/>
      <c r="J320" s="169"/>
    </row>
    <row r="321" ht="15.75" customHeight="1">
      <c r="B321" s="142"/>
      <c r="J321" s="169"/>
    </row>
    <row r="322" ht="15.75" customHeight="1">
      <c r="B322" s="142"/>
      <c r="J322" s="169"/>
    </row>
    <row r="323" ht="15.75" customHeight="1">
      <c r="B323" s="142"/>
      <c r="J323" s="169"/>
    </row>
    <row r="324" ht="15.75" customHeight="1">
      <c r="B324" s="142"/>
      <c r="J324" s="169"/>
    </row>
    <row r="325" ht="15.75" customHeight="1">
      <c r="B325" s="142"/>
      <c r="J325" s="169"/>
    </row>
    <row r="326" ht="15.75" customHeight="1">
      <c r="B326" s="142"/>
      <c r="J326" s="169"/>
    </row>
    <row r="327" ht="15.75" customHeight="1">
      <c r="B327" s="142"/>
      <c r="J327" s="169"/>
    </row>
    <row r="328" ht="15.75" customHeight="1">
      <c r="B328" s="142"/>
      <c r="J328" s="169"/>
    </row>
    <row r="329" ht="15.75" customHeight="1">
      <c r="B329" s="142"/>
      <c r="J329" s="169"/>
    </row>
    <row r="330" ht="15.75" customHeight="1">
      <c r="B330" s="142"/>
      <c r="J330" s="169"/>
    </row>
    <row r="331" ht="15.75" customHeight="1">
      <c r="B331" s="142"/>
      <c r="J331" s="169"/>
    </row>
    <row r="332" ht="15.75" customHeight="1">
      <c r="B332" s="142"/>
      <c r="J332" s="169"/>
    </row>
    <row r="333" ht="15.75" customHeight="1">
      <c r="B333" s="142"/>
      <c r="J333" s="169"/>
    </row>
    <row r="334" ht="15.75" customHeight="1">
      <c r="B334" s="142"/>
      <c r="J334" s="169"/>
    </row>
    <row r="335" ht="15.75" customHeight="1">
      <c r="B335" s="142"/>
      <c r="J335" s="169"/>
    </row>
    <row r="336" ht="15.75" customHeight="1">
      <c r="B336" s="142"/>
      <c r="J336" s="169"/>
    </row>
    <row r="337" ht="15.75" customHeight="1">
      <c r="B337" s="142"/>
      <c r="J337" s="169"/>
    </row>
    <row r="338" ht="15.75" customHeight="1">
      <c r="B338" s="142"/>
      <c r="J338" s="169"/>
    </row>
    <row r="339" ht="15.75" customHeight="1">
      <c r="B339" s="142"/>
      <c r="J339" s="169"/>
    </row>
    <row r="340" ht="15.75" customHeight="1">
      <c r="B340" s="142"/>
      <c r="J340" s="169"/>
    </row>
    <row r="341" ht="15.75" customHeight="1">
      <c r="B341" s="142"/>
      <c r="J341" s="169"/>
    </row>
    <row r="342" ht="15.75" customHeight="1">
      <c r="B342" s="142"/>
      <c r="J342" s="169"/>
    </row>
    <row r="343" ht="15.75" customHeight="1">
      <c r="B343" s="142"/>
      <c r="J343" s="169"/>
    </row>
    <row r="344" ht="15.75" customHeight="1">
      <c r="B344" s="142"/>
      <c r="J344" s="169"/>
    </row>
    <row r="345" ht="15.75" customHeight="1">
      <c r="B345" s="142"/>
      <c r="J345" s="169"/>
    </row>
    <row r="346" ht="15.75" customHeight="1">
      <c r="B346" s="142"/>
      <c r="J346" s="169"/>
    </row>
    <row r="347" ht="15.75" customHeight="1">
      <c r="B347" s="142"/>
      <c r="J347" s="169"/>
    </row>
    <row r="348" ht="15.75" customHeight="1">
      <c r="B348" s="142"/>
      <c r="J348" s="169"/>
    </row>
    <row r="349" ht="15.75" customHeight="1">
      <c r="B349" s="142"/>
      <c r="J349" s="169"/>
    </row>
    <row r="350" ht="15.75" customHeight="1">
      <c r="B350" s="142"/>
      <c r="J350" s="169"/>
    </row>
    <row r="351" ht="15.75" customHeight="1">
      <c r="B351" s="142"/>
      <c r="J351" s="169"/>
    </row>
    <row r="352" ht="15.75" customHeight="1">
      <c r="B352" s="142"/>
      <c r="J352" s="169"/>
    </row>
    <row r="353" ht="15.75" customHeight="1">
      <c r="B353" s="142"/>
      <c r="J353" s="169"/>
    </row>
    <row r="354" ht="15.75" customHeight="1">
      <c r="B354" s="142"/>
      <c r="J354" s="169"/>
    </row>
    <row r="355" ht="15.75" customHeight="1">
      <c r="B355" s="142"/>
      <c r="J355" s="169"/>
    </row>
    <row r="356" ht="15.75" customHeight="1">
      <c r="B356" s="142"/>
      <c r="J356" s="169"/>
    </row>
    <row r="357" ht="15.75" customHeight="1">
      <c r="B357" s="142"/>
      <c r="J357" s="169"/>
    </row>
    <row r="358" ht="15.75" customHeight="1">
      <c r="B358" s="142"/>
      <c r="J358" s="169"/>
    </row>
    <row r="359" ht="15.75" customHeight="1">
      <c r="B359" s="142"/>
      <c r="J359" s="169"/>
    </row>
    <row r="360" ht="15.75" customHeight="1">
      <c r="B360" s="142"/>
      <c r="J360" s="169"/>
    </row>
    <row r="361" ht="15.75" customHeight="1">
      <c r="B361" s="142"/>
      <c r="J361" s="169"/>
    </row>
    <row r="362" ht="15.75" customHeight="1">
      <c r="B362" s="142"/>
      <c r="J362" s="169"/>
    </row>
    <row r="363" ht="15.75" customHeight="1">
      <c r="B363" s="142"/>
      <c r="J363" s="169"/>
    </row>
    <row r="364" ht="15.75" customHeight="1">
      <c r="B364" s="142"/>
      <c r="J364" s="169"/>
    </row>
    <row r="365" ht="15.75" customHeight="1">
      <c r="B365" s="142"/>
      <c r="J365" s="169"/>
    </row>
    <row r="366" ht="15.75" customHeight="1">
      <c r="B366" s="142"/>
      <c r="J366" s="169"/>
    </row>
    <row r="367" ht="15.75" customHeight="1">
      <c r="B367" s="142"/>
      <c r="J367" s="169"/>
    </row>
    <row r="368" ht="15.75" customHeight="1">
      <c r="B368" s="142"/>
      <c r="J368" s="169"/>
    </row>
    <row r="369" ht="15.75" customHeight="1">
      <c r="B369" s="142"/>
      <c r="J369" s="169"/>
    </row>
    <row r="370" ht="15.75" customHeight="1">
      <c r="B370" s="142"/>
      <c r="J370" s="169"/>
    </row>
    <row r="371" ht="15.75" customHeight="1">
      <c r="B371" s="142"/>
      <c r="J371" s="169"/>
    </row>
    <row r="372" ht="15.75" customHeight="1">
      <c r="B372" s="142"/>
      <c r="J372" s="169"/>
    </row>
    <row r="373" ht="15.75" customHeight="1">
      <c r="B373" s="142"/>
      <c r="J373" s="169"/>
    </row>
    <row r="374" ht="15.75" customHeight="1">
      <c r="B374" s="142"/>
      <c r="J374" s="169"/>
    </row>
    <row r="375" ht="15.75" customHeight="1">
      <c r="B375" s="142"/>
      <c r="J375" s="169"/>
    </row>
    <row r="376" ht="15.75" customHeight="1">
      <c r="B376" s="142"/>
      <c r="J376" s="169"/>
    </row>
    <row r="377" ht="15.75" customHeight="1">
      <c r="B377" s="142"/>
      <c r="J377" s="169"/>
    </row>
    <row r="378" ht="15.75" customHeight="1">
      <c r="B378" s="142"/>
      <c r="J378" s="169"/>
    </row>
    <row r="379" ht="15.75" customHeight="1">
      <c r="B379" s="142"/>
      <c r="J379" s="169"/>
    </row>
    <row r="380" ht="15.75" customHeight="1">
      <c r="B380" s="142"/>
      <c r="J380" s="169"/>
    </row>
    <row r="381" ht="15.75" customHeight="1">
      <c r="B381" s="142"/>
      <c r="J381" s="169"/>
    </row>
    <row r="382" ht="15.75" customHeight="1">
      <c r="B382" s="142"/>
      <c r="J382" s="169"/>
    </row>
    <row r="383" ht="15.75" customHeight="1">
      <c r="B383" s="142"/>
      <c r="J383" s="169"/>
    </row>
    <row r="384" ht="15.75" customHeight="1">
      <c r="B384" s="142"/>
      <c r="J384" s="169"/>
    </row>
    <row r="385" ht="15.75" customHeight="1">
      <c r="B385" s="142"/>
      <c r="J385" s="169"/>
    </row>
    <row r="386" ht="15.75" customHeight="1">
      <c r="B386" s="142"/>
      <c r="J386" s="169"/>
    </row>
    <row r="387" ht="15.75" customHeight="1">
      <c r="B387" s="142"/>
      <c r="J387" s="169"/>
    </row>
    <row r="388" ht="15.75" customHeight="1">
      <c r="B388" s="142"/>
      <c r="J388" s="169"/>
    </row>
    <row r="389" ht="15.75" customHeight="1">
      <c r="B389" s="142"/>
      <c r="J389" s="169"/>
    </row>
    <row r="390" ht="15.75" customHeight="1">
      <c r="B390" s="142"/>
      <c r="J390" s="169"/>
    </row>
    <row r="391" ht="15.75" customHeight="1">
      <c r="B391" s="142"/>
      <c r="J391" s="169"/>
    </row>
    <row r="392" ht="15.75" customHeight="1">
      <c r="B392" s="142"/>
      <c r="J392" s="169"/>
    </row>
    <row r="393" ht="15.75" customHeight="1">
      <c r="B393" s="142"/>
      <c r="J393" s="169"/>
    </row>
    <row r="394" ht="15.75" customHeight="1">
      <c r="B394" s="142"/>
      <c r="J394" s="169"/>
    </row>
    <row r="395" ht="15.75" customHeight="1">
      <c r="B395" s="142"/>
      <c r="J395" s="169"/>
    </row>
    <row r="396" ht="15.75" customHeight="1">
      <c r="B396" s="142"/>
      <c r="J396" s="169"/>
    </row>
    <row r="397" ht="15.75" customHeight="1">
      <c r="B397" s="142"/>
      <c r="J397" s="169"/>
    </row>
    <row r="398" ht="15.75" customHeight="1">
      <c r="B398" s="142"/>
      <c r="J398" s="169"/>
    </row>
    <row r="399" ht="15.75" customHeight="1">
      <c r="B399" s="142"/>
      <c r="J399" s="169"/>
    </row>
    <row r="400" ht="15.75" customHeight="1">
      <c r="B400" s="142"/>
      <c r="J400" s="169"/>
    </row>
    <row r="401" ht="15.75" customHeight="1">
      <c r="B401" s="142"/>
      <c r="J401" s="169"/>
    </row>
    <row r="402" ht="15.75" customHeight="1">
      <c r="B402" s="142"/>
      <c r="J402" s="169"/>
    </row>
    <row r="403" ht="15.75" customHeight="1">
      <c r="B403" s="142"/>
      <c r="J403" s="169"/>
    </row>
    <row r="404" ht="15.75" customHeight="1">
      <c r="B404" s="142"/>
      <c r="J404" s="169"/>
    </row>
    <row r="405" ht="15.75" customHeight="1">
      <c r="B405" s="142"/>
      <c r="J405" s="169"/>
    </row>
    <row r="406" ht="15.75" customHeight="1">
      <c r="B406" s="142"/>
      <c r="J406" s="169"/>
    </row>
    <row r="407" ht="15.75" customHeight="1">
      <c r="B407" s="142"/>
      <c r="J407" s="169"/>
    </row>
    <row r="408" ht="15.75" customHeight="1">
      <c r="B408" s="142"/>
      <c r="J408" s="169"/>
    </row>
    <row r="409" ht="15.75" customHeight="1">
      <c r="B409" s="142"/>
      <c r="J409" s="169"/>
    </row>
    <row r="410" ht="15.75" customHeight="1">
      <c r="B410" s="142"/>
      <c r="J410" s="169"/>
    </row>
    <row r="411" ht="15.75" customHeight="1">
      <c r="B411" s="142"/>
      <c r="J411" s="169"/>
    </row>
    <row r="412" ht="15.75" customHeight="1">
      <c r="B412" s="142"/>
      <c r="J412" s="169"/>
    </row>
    <row r="413" ht="15.75" customHeight="1">
      <c r="B413" s="142"/>
      <c r="J413" s="169"/>
    </row>
    <row r="414" ht="15.75" customHeight="1">
      <c r="B414" s="142"/>
      <c r="J414" s="169"/>
    </row>
    <row r="415" ht="15.75" customHeight="1">
      <c r="B415" s="142"/>
      <c r="J415" s="169"/>
    </row>
    <row r="416" ht="15.75" customHeight="1">
      <c r="B416" s="142"/>
      <c r="J416" s="169"/>
    </row>
    <row r="417" ht="15.75" customHeight="1">
      <c r="B417" s="142"/>
      <c r="J417" s="169"/>
    </row>
    <row r="418" ht="15.75" customHeight="1">
      <c r="B418" s="142"/>
      <c r="J418" s="169"/>
    </row>
    <row r="419" ht="15.75" customHeight="1">
      <c r="B419" s="142"/>
      <c r="J419" s="169"/>
    </row>
    <row r="420" ht="15.75" customHeight="1">
      <c r="B420" s="142"/>
      <c r="J420" s="169"/>
    </row>
    <row r="421" ht="15.75" customHeight="1">
      <c r="B421" s="142"/>
      <c r="J421" s="169"/>
    </row>
    <row r="422" ht="15.75" customHeight="1">
      <c r="B422" s="142"/>
      <c r="J422" s="169"/>
    </row>
    <row r="423" ht="15.75" customHeight="1">
      <c r="B423" s="142"/>
      <c r="J423" s="169"/>
    </row>
    <row r="424" ht="15.75" customHeight="1">
      <c r="B424" s="142"/>
      <c r="J424" s="169"/>
    </row>
    <row r="425" ht="15.75" customHeight="1">
      <c r="B425" s="142"/>
      <c r="J425" s="169"/>
    </row>
    <row r="426" ht="15.75" customHeight="1">
      <c r="B426" s="142"/>
      <c r="J426" s="169"/>
    </row>
    <row r="427" ht="15.75" customHeight="1">
      <c r="B427" s="142"/>
      <c r="J427" s="169"/>
    </row>
    <row r="428" ht="15.75" customHeight="1">
      <c r="B428" s="142"/>
      <c r="J428" s="169"/>
    </row>
    <row r="429" ht="15.75" customHeight="1">
      <c r="B429" s="142"/>
      <c r="J429" s="169"/>
    </row>
    <row r="430" ht="15.75" customHeight="1">
      <c r="B430" s="142"/>
      <c r="J430" s="169"/>
    </row>
    <row r="431" ht="15.75" customHeight="1">
      <c r="B431" s="142"/>
      <c r="J431" s="169"/>
    </row>
    <row r="432" ht="15.75" customHeight="1">
      <c r="B432" s="142"/>
      <c r="J432" s="169"/>
    </row>
    <row r="433" ht="15.75" customHeight="1">
      <c r="B433" s="142"/>
      <c r="J433" s="169"/>
    </row>
    <row r="434" ht="15.75" customHeight="1">
      <c r="B434" s="142"/>
      <c r="J434" s="169"/>
    </row>
    <row r="435" ht="15.75" customHeight="1">
      <c r="B435" s="142"/>
      <c r="J435" s="169"/>
    </row>
    <row r="436" ht="15.75" customHeight="1">
      <c r="B436" s="142"/>
      <c r="J436" s="169"/>
    </row>
    <row r="437" ht="15.75" customHeight="1">
      <c r="B437" s="142"/>
      <c r="J437" s="169"/>
    </row>
    <row r="438" ht="15.75" customHeight="1">
      <c r="B438" s="142"/>
      <c r="J438" s="169"/>
    </row>
    <row r="439" ht="15.75" customHeight="1">
      <c r="B439" s="142"/>
      <c r="J439" s="169"/>
    </row>
    <row r="440" ht="15.75" customHeight="1">
      <c r="B440" s="142"/>
      <c r="J440" s="169"/>
    </row>
    <row r="441" ht="15.75" customHeight="1">
      <c r="B441" s="142"/>
      <c r="J441" s="169"/>
    </row>
    <row r="442" ht="15.75" customHeight="1">
      <c r="B442" s="142"/>
      <c r="J442" s="169"/>
    </row>
    <row r="443" ht="15.75" customHeight="1">
      <c r="B443" s="142"/>
      <c r="J443" s="169"/>
    </row>
    <row r="444" ht="15.75" customHeight="1">
      <c r="B444" s="142"/>
      <c r="J444" s="169"/>
    </row>
    <row r="445" ht="15.75" customHeight="1">
      <c r="B445" s="142"/>
      <c r="J445" s="169"/>
    </row>
    <row r="446" ht="15.75" customHeight="1">
      <c r="B446" s="142"/>
      <c r="J446" s="169"/>
    </row>
    <row r="447" ht="15.75" customHeight="1">
      <c r="B447" s="142"/>
      <c r="J447" s="169"/>
    </row>
    <row r="448" ht="15.75" customHeight="1">
      <c r="B448" s="142"/>
      <c r="J448" s="169"/>
    </row>
    <row r="449" ht="15.75" customHeight="1">
      <c r="B449" s="142"/>
      <c r="J449" s="169"/>
    </row>
    <row r="450" ht="15.75" customHeight="1">
      <c r="B450" s="142"/>
      <c r="J450" s="169"/>
    </row>
    <row r="451" ht="15.75" customHeight="1">
      <c r="B451" s="142"/>
      <c r="J451" s="169"/>
    </row>
    <row r="452" ht="15.75" customHeight="1">
      <c r="B452" s="142"/>
      <c r="J452" s="169"/>
    </row>
    <row r="453" ht="15.75" customHeight="1">
      <c r="B453" s="142"/>
      <c r="J453" s="169"/>
    </row>
    <row r="454" ht="15.75" customHeight="1">
      <c r="B454" s="142"/>
      <c r="J454" s="169"/>
    </row>
    <row r="455" ht="15.75" customHeight="1">
      <c r="B455" s="142"/>
      <c r="J455" s="169"/>
    </row>
    <row r="456" ht="15.75" customHeight="1">
      <c r="B456" s="142"/>
      <c r="J456" s="169"/>
    </row>
    <row r="457" ht="15.75" customHeight="1">
      <c r="B457" s="142"/>
      <c r="J457" s="169"/>
    </row>
    <row r="458" ht="15.75" customHeight="1">
      <c r="B458" s="142"/>
      <c r="J458" s="169"/>
    </row>
    <row r="459" ht="15.75" customHeight="1">
      <c r="B459" s="142"/>
      <c r="J459" s="169"/>
    </row>
    <row r="460" ht="15.75" customHeight="1">
      <c r="B460" s="142"/>
      <c r="J460" s="169"/>
    </row>
    <row r="461" ht="15.75" customHeight="1">
      <c r="B461" s="142"/>
      <c r="J461" s="169"/>
    </row>
    <row r="462" ht="15.75" customHeight="1">
      <c r="B462" s="142"/>
      <c r="J462" s="169"/>
    </row>
    <row r="463" ht="15.75" customHeight="1">
      <c r="B463" s="142"/>
      <c r="J463" s="169"/>
    </row>
    <row r="464" ht="15.75" customHeight="1">
      <c r="B464" s="142"/>
      <c r="J464" s="169"/>
    </row>
    <row r="465" ht="15.75" customHeight="1">
      <c r="B465" s="142"/>
      <c r="J465" s="169"/>
    </row>
    <row r="466" ht="15.75" customHeight="1">
      <c r="B466" s="142"/>
      <c r="J466" s="169"/>
    </row>
    <row r="467" ht="15.75" customHeight="1">
      <c r="B467" s="142"/>
      <c r="J467" s="169"/>
    </row>
    <row r="468" ht="15.75" customHeight="1">
      <c r="B468" s="142"/>
      <c r="J468" s="169"/>
    </row>
    <row r="469" ht="15.75" customHeight="1">
      <c r="B469" s="142"/>
      <c r="J469" s="169"/>
    </row>
    <row r="470" ht="15.75" customHeight="1">
      <c r="B470" s="142"/>
      <c r="J470" s="169"/>
    </row>
    <row r="471" ht="15.75" customHeight="1">
      <c r="B471" s="142"/>
      <c r="J471" s="169"/>
    </row>
    <row r="472" ht="15.75" customHeight="1">
      <c r="B472" s="142"/>
      <c r="J472" s="169"/>
    </row>
    <row r="473" ht="15.75" customHeight="1">
      <c r="B473" s="142"/>
      <c r="J473" s="169"/>
    </row>
    <row r="474" ht="15.75" customHeight="1">
      <c r="B474" s="142"/>
      <c r="J474" s="169"/>
    </row>
    <row r="475" ht="15.75" customHeight="1">
      <c r="B475" s="142"/>
      <c r="J475" s="169"/>
    </row>
    <row r="476" ht="15.75" customHeight="1">
      <c r="B476" s="142"/>
      <c r="J476" s="169"/>
    </row>
    <row r="477" ht="15.75" customHeight="1">
      <c r="B477" s="142"/>
      <c r="J477" s="169"/>
    </row>
    <row r="478" ht="15.75" customHeight="1">
      <c r="B478" s="142"/>
      <c r="J478" s="169"/>
    </row>
    <row r="479" ht="15.75" customHeight="1">
      <c r="B479" s="142"/>
      <c r="J479" s="169"/>
    </row>
    <row r="480" ht="15.75" customHeight="1">
      <c r="B480" s="142"/>
      <c r="J480" s="169"/>
    </row>
    <row r="481" ht="15.75" customHeight="1">
      <c r="B481" s="142"/>
      <c r="J481" s="169"/>
    </row>
    <row r="482" ht="15.75" customHeight="1">
      <c r="B482" s="142"/>
      <c r="J482" s="169"/>
    </row>
    <row r="483" ht="15.75" customHeight="1">
      <c r="B483" s="142"/>
      <c r="J483" s="169"/>
    </row>
    <row r="484" ht="15.75" customHeight="1">
      <c r="B484" s="142"/>
      <c r="J484" s="169"/>
    </row>
    <row r="485" ht="15.75" customHeight="1">
      <c r="B485" s="142"/>
      <c r="J485" s="169"/>
    </row>
    <row r="486" ht="15.75" customHeight="1">
      <c r="B486" s="142"/>
      <c r="J486" s="169"/>
    </row>
    <row r="487" ht="15.75" customHeight="1">
      <c r="B487" s="142"/>
      <c r="J487" s="169"/>
    </row>
    <row r="488" ht="15.75" customHeight="1">
      <c r="B488" s="142"/>
      <c r="J488" s="169"/>
    </row>
    <row r="489" ht="15.75" customHeight="1">
      <c r="B489" s="142"/>
      <c r="J489" s="169"/>
    </row>
    <row r="490" ht="15.75" customHeight="1">
      <c r="B490" s="142"/>
      <c r="J490" s="169"/>
    </row>
    <row r="491" ht="15.75" customHeight="1">
      <c r="B491" s="142"/>
      <c r="J491" s="169"/>
    </row>
    <row r="492" ht="15.75" customHeight="1">
      <c r="B492" s="142"/>
      <c r="J492" s="169"/>
    </row>
    <row r="493" ht="15.75" customHeight="1">
      <c r="B493" s="142"/>
      <c r="J493" s="169"/>
    </row>
    <row r="494" ht="15.75" customHeight="1">
      <c r="B494" s="142"/>
      <c r="J494" s="169"/>
    </row>
    <row r="495" ht="15.75" customHeight="1">
      <c r="B495" s="142"/>
      <c r="J495" s="169"/>
    </row>
    <row r="496" ht="15.75" customHeight="1">
      <c r="B496" s="142"/>
      <c r="J496" s="169"/>
    </row>
    <row r="497" ht="15.75" customHeight="1">
      <c r="B497" s="142"/>
      <c r="J497" s="169"/>
    </row>
    <row r="498" ht="15.75" customHeight="1">
      <c r="B498" s="142"/>
      <c r="J498" s="169"/>
    </row>
    <row r="499" ht="15.75" customHeight="1">
      <c r="B499" s="142"/>
      <c r="J499" s="169"/>
    </row>
    <row r="500" ht="15.75" customHeight="1">
      <c r="B500" s="142"/>
      <c r="J500" s="169"/>
    </row>
    <row r="501" ht="15.75" customHeight="1">
      <c r="B501" s="142"/>
      <c r="J501" s="169"/>
    </row>
    <row r="502" ht="15.75" customHeight="1">
      <c r="B502" s="142"/>
      <c r="J502" s="169"/>
    </row>
    <row r="503" ht="15.75" customHeight="1">
      <c r="B503" s="142"/>
      <c r="J503" s="169"/>
    </row>
    <row r="504" ht="15.75" customHeight="1">
      <c r="B504" s="142"/>
      <c r="J504" s="169"/>
    </row>
    <row r="505" ht="15.75" customHeight="1">
      <c r="B505" s="142"/>
      <c r="J505" s="169"/>
    </row>
    <row r="506" ht="15.75" customHeight="1">
      <c r="B506" s="142"/>
      <c r="J506" s="169"/>
    </row>
    <row r="507" ht="15.75" customHeight="1">
      <c r="B507" s="142"/>
      <c r="J507" s="169"/>
    </row>
    <row r="508" ht="15.75" customHeight="1">
      <c r="B508" s="142"/>
      <c r="J508" s="169"/>
    </row>
    <row r="509" ht="15.75" customHeight="1">
      <c r="B509" s="142"/>
      <c r="J509" s="169"/>
    </row>
    <row r="510" ht="15.75" customHeight="1">
      <c r="B510" s="142"/>
      <c r="J510" s="169"/>
    </row>
    <row r="511" ht="15.75" customHeight="1">
      <c r="B511" s="142"/>
      <c r="J511" s="169"/>
    </row>
    <row r="512" ht="15.75" customHeight="1">
      <c r="B512" s="142"/>
      <c r="J512" s="169"/>
    </row>
    <row r="513" ht="15.75" customHeight="1">
      <c r="B513" s="142"/>
      <c r="J513" s="169"/>
    </row>
    <row r="514" ht="15.75" customHeight="1">
      <c r="B514" s="142"/>
      <c r="J514" s="169"/>
    </row>
    <row r="515" ht="15.75" customHeight="1">
      <c r="B515" s="142"/>
      <c r="J515" s="169"/>
    </row>
    <row r="516" ht="15.75" customHeight="1">
      <c r="B516" s="142"/>
      <c r="J516" s="169"/>
    </row>
    <row r="517" ht="15.75" customHeight="1">
      <c r="B517" s="142"/>
      <c r="J517" s="169"/>
    </row>
    <row r="518" ht="15.75" customHeight="1">
      <c r="B518" s="142"/>
      <c r="J518" s="169"/>
    </row>
    <row r="519" ht="15.75" customHeight="1">
      <c r="B519" s="142"/>
      <c r="J519" s="169"/>
    </row>
    <row r="520" ht="15.75" customHeight="1">
      <c r="B520" s="142"/>
      <c r="J520" s="169"/>
    </row>
    <row r="521" ht="15.75" customHeight="1">
      <c r="B521" s="142"/>
      <c r="J521" s="169"/>
    </row>
    <row r="522" ht="15.75" customHeight="1">
      <c r="B522" s="142"/>
      <c r="J522" s="169"/>
    </row>
    <row r="523" ht="15.75" customHeight="1">
      <c r="B523" s="142"/>
      <c r="J523" s="169"/>
    </row>
    <row r="524" ht="15.75" customHeight="1">
      <c r="B524" s="142"/>
      <c r="J524" s="169"/>
    </row>
    <row r="525" ht="15.75" customHeight="1">
      <c r="B525" s="142"/>
      <c r="J525" s="169"/>
    </row>
    <row r="526" ht="15.75" customHeight="1">
      <c r="B526" s="142"/>
      <c r="J526" s="169"/>
    </row>
    <row r="527" ht="15.75" customHeight="1">
      <c r="B527" s="142"/>
      <c r="J527" s="169"/>
    </row>
    <row r="528" ht="15.75" customHeight="1">
      <c r="B528" s="142"/>
      <c r="J528" s="169"/>
    </row>
    <row r="529" ht="15.75" customHeight="1">
      <c r="B529" s="142"/>
      <c r="J529" s="169"/>
    </row>
    <row r="530" ht="15.75" customHeight="1">
      <c r="B530" s="142"/>
      <c r="J530" s="169"/>
    </row>
    <row r="531" ht="15.75" customHeight="1">
      <c r="B531" s="142"/>
      <c r="J531" s="169"/>
    </row>
    <row r="532" ht="15.75" customHeight="1">
      <c r="B532" s="142"/>
      <c r="J532" s="169"/>
    </row>
    <row r="533" ht="15.75" customHeight="1">
      <c r="B533" s="142"/>
      <c r="J533" s="169"/>
    </row>
    <row r="534" ht="15.75" customHeight="1">
      <c r="B534" s="142"/>
      <c r="J534" s="169"/>
    </row>
    <row r="535" ht="15.75" customHeight="1">
      <c r="B535" s="142"/>
      <c r="J535" s="169"/>
    </row>
    <row r="536" ht="15.75" customHeight="1">
      <c r="B536" s="142"/>
      <c r="J536" s="169"/>
    </row>
    <row r="537" ht="15.75" customHeight="1">
      <c r="B537" s="142"/>
      <c r="J537" s="169"/>
    </row>
    <row r="538" ht="15.75" customHeight="1">
      <c r="B538" s="142"/>
      <c r="J538" s="169"/>
    </row>
    <row r="539" ht="15.75" customHeight="1">
      <c r="B539" s="142"/>
      <c r="J539" s="169"/>
    </row>
    <row r="540" ht="15.75" customHeight="1">
      <c r="B540" s="142"/>
      <c r="J540" s="169"/>
    </row>
    <row r="541" ht="15.75" customHeight="1">
      <c r="B541" s="142"/>
      <c r="J541" s="169"/>
    </row>
    <row r="542" ht="15.75" customHeight="1">
      <c r="B542" s="142"/>
      <c r="J542" s="169"/>
    </row>
    <row r="543" ht="15.75" customHeight="1">
      <c r="B543" s="142"/>
      <c r="J543" s="169"/>
    </row>
    <row r="544" ht="15.75" customHeight="1">
      <c r="B544" s="142"/>
      <c r="J544" s="169"/>
    </row>
    <row r="545" ht="15.75" customHeight="1">
      <c r="B545" s="142"/>
      <c r="J545" s="169"/>
    </row>
    <row r="546" ht="15.75" customHeight="1">
      <c r="B546" s="142"/>
      <c r="J546" s="169"/>
    </row>
    <row r="547" ht="15.75" customHeight="1">
      <c r="B547" s="142"/>
      <c r="J547" s="169"/>
    </row>
    <row r="548" ht="15.75" customHeight="1">
      <c r="B548" s="142"/>
      <c r="J548" s="169"/>
    </row>
    <row r="549" ht="15.75" customHeight="1">
      <c r="B549" s="142"/>
      <c r="J549" s="169"/>
    </row>
    <row r="550" ht="15.75" customHeight="1">
      <c r="B550" s="142"/>
      <c r="J550" s="169"/>
    </row>
    <row r="551" ht="15.75" customHeight="1">
      <c r="B551" s="142"/>
      <c r="J551" s="169"/>
    </row>
    <row r="552" ht="15.75" customHeight="1">
      <c r="B552" s="142"/>
      <c r="J552" s="169"/>
    </row>
    <row r="553" ht="15.75" customHeight="1">
      <c r="B553" s="142"/>
      <c r="J553" s="169"/>
    </row>
    <row r="554" ht="15.75" customHeight="1">
      <c r="B554" s="142"/>
      <c r="J554" s="169"/>
    </row>
    <row r="555" ht="15.75" customHeight="1">
      <c r="B555" s="142"/>
      <c r="J555" s="169"/>
    </row>
    <row r="556" ht="15.75" customHeight="1">
      <c r="B556" s="142"/>
      <c r="J556" s="169"/>
    </row>
    <row r="557" ht="15.75" customHeight="1">
      <c r="B557" s="142"/>
      <c r="J557" s="169"/>
    </row>
    <row r="558" ht="15.75" customHeight="1">
      <c r="B558" s="142"/>
      <c r="J558" s="169"/>
    </row>
    <row r="559" ht="15.75" customHeight="1">
      <c r="B559" s="142"/>
      <c r="J559" s="169"/>
    </row>
    <row r="560" ht="15.75" customHeight="1">
      <c r="B560" s="142"/>
      <c r="J560" s="169"/>
    </row>
    <row r="561" ht="15.75" customHeight="1">
      <c r="B561" s="142"/>
      <c r="J561" s="169"/>
    </row>
    <row r="562" ht="15.75" customHeight="1">
      <c r="B562" s="142"/>
      <c r="J562" s="169"/>
    </row>
    <row r="563" ht="15.75" customHeight="1">
      <c r="B563" s="142"/>
      <c r="J563" s="169"/>
    </row>
    <row r="564" ht="15.75" customHeight="1">
      <c r="B564" s="142"/>
      <c r="J564" s="169"/>
    </row>
    <row r="565" ht="15.75" customHeight="1">
      <c r="B565" s="142"/>
      <c r="J565" s="169"/>
    </row>
    <row r="566" ht="15.75" customHeight="1">
      <c r="B566" s="142"/>
      <c r="J566" s="169"/>
    </row>
    <row r="567" ht="15.75" customHeight="1">
      <c r="B567" s="142"/>
      <c r="J567" s="169"/>
    </row>
    <row r="568" ht="15.75" customHeight="1">
      <c r="B568" s="142"/>
      <c r="J568" s="169"/>
    </row>
    <row r="569" ht="15.75" customHeight="1">
      <c r="B569" s="142"/>
      <c r="J569" s="169"/>
    </row>
    <row r="570" ht="15.75" customHeight="1">
      <c r="B570" s="142"/>
      <c r="J570" s="169"/>
    </row>
    <row r="571" ht="15.75" customHeight="1">
      <c r="B571" s="142"/>
      <c r="J571" s="169"/>
    </row>
    <row r="572" ht="15.75" customHeight="1">
      <c r="B572" s="142"/>
      <c r="J572" s="169"/>
    </row>
    <row r="573" ht="15.75" customHeight="1">
      <c r="B573" s="142"/>
      <c r="J573" s="169"/>
    </row>
    <row r="574" ht="15.75" customHeight="1">
      <c r="B574" s="142"/>
      <c r="J574" s="169"/>
    </row>
    <row r="575" ht="15.75" customHeight="1">
      <c r="B575" s="142"/>
      <c r="J575" s="169"/>
    </row>
    <row r="576" ht="15.75" customHeight="1">
      <c r="B576" s="142"/>
      <c r="J576" s="169"/>
    </row>
    <row r="577" ht="15.75" customHeight="1">
      <c r="B577" s="142"/>
      <c r="J577" s="169"/>
    </row>
    <row r="578" ht="15.75" customHeight="1">
      <c r="B578" s="142"/>
      <c r="J578" s="169"/>
    </row>
    <row r="579" ht="15.75" customHeight="1">
      <c r="B579" s="142"/>
      <c r="J579" s="169"/>
    </row>
    <row r="580" ht="15.75" customHeight="1">
      <c r="B580" s="142"/>
      <c r="J580" s="169"/>
    </row>
    <row r="581" ht="15.75" customHeight="1">
      <c r="B581" s="142"/>
      <c r="J581" s="169"/>
    </row>
    <row r="582" ht="15.75" customHeight="1">
      <c r="B582" s="142"/>
      <c r="J582" s="169"/>
    </row>
    <row r="583" ht="15.75" customHeight="1">
      <c r="B583" s="142"/>
      <c r="J583" s="169"/>
    </row>
    <row r="584" ht="15.75" customHeight="1">
      <c r="B584" s="142"/>
      <c r="J584" s="169"/>
    </row>
    <row r="585" ht="15.75" customHeight="1">
      <c r="B585" s="142"/>
      <c r="J585" s="169"/>
    </row>
    <row r="586" ht="15.75" customHeight="1">
      <c r="B586" s="142"/>
      <c r="J586" s="169"/>
    </row>
    <row r="587" ht="15.75" customHeight="1">
      <c r="B587" s="142"/>
      <c r="J587" s="169"/>
    </row>
    <row r="588" ht="15.75" customHeight="1">
      <c r="B588" s="142"/>
      <c r="J588" s="169"/>
    </row>
    <row r="589" ht="15.75" customHeight="1">
      <c r="B589" s="142"/>
      <c r="J589" s="169"/>
    </row>
    <row r="590" ht="15.75" customHeight="1">
      <c r="B590" s="142"/>
      <c r="J590" s="169"/>
    </row>
    <row r="591" ht="15.75" customHeight="1">
      <c r="B591" s="142"/>
      <c r="J591" s="169"/>
    </row>
    <row r="592" ht="15.75" customHeight="1">
      <c r="B592" s="142"/>
      <c r="J592" s="169"/>
    </row>
    <row r="593" ht="15.75" customHeight="1">
      <c r="B593" s="142"/>
      <c r="J593" s="169"/>
    </row>
    <row r="594" ht="15.75" customHeight="1">
      <c r="B594" s="142"/>
      <c r="J594" s="169"/>
    </row>
    <row r="595" ht="15.75" customHeight="1">
      <c r="B595" s="142"/>
      <c r="J595" s="169"/>
    </row>
    <row r="596" ht="15.75" customHeight="1">
      <c r="B596" s="142"/>
      <c r="J596" s="169"/>
    </row>
    <row r="597" ht="15.75" customHeight="1">
      <c r="B597" s="142"/>
      <c r="J597" s="169"/>
    </row>
    <row r="598" ht="15.75" customHeight="1">
      <c r="B598" s="142"/>
      <c r="J598" s="169"/>
    </row>
    <row r="599" ht="15.75" customHeight="1">
      <c r="B599" s="142"/>
      <c r="J599" s="169"/>
    </row>
    <row r="600" ht="15.75" customHeight="1">
      <c r="B600" s="142"/>
      <c r="J600" s="169"/>
    </row>
    <row r="601" ht="15.75" customHeight="1">
      <c r="B601" s="142"/>
      <c r="J601" s="169"/>
    </row>
    <row r="602" ht="15.75" customHeight="1">
      <c r="B602" s="142"/>
      <c r="J602" s="169"/>
    </row>
    <row r="603" ht="15.75" customHeight="1">
      <c r="B603" s="142"/>
      <c r="J603" s="169"/>
    </row>
    <row r="604" ht="15.75" customHeight="1">
      <c r="B604" s="142"/>
      <c r="J604" s="169"/>
    </row>
    <row r="605" ht="15.75" customHeight="1">
      <c r="B605" s="142"/>
      <c r="J605" s="169"/>
    </row>
    <row r="606" ht="15.75" customHeight="1">
      <c r="B606" s="142"/>
      <c r="J606" s="169"/>
    </row>
    <row r="607" ht="15.75" customHeight="1">
      <c r="B607" s="142"/>
      <c r="J607" s="169"/>
    </row>
    <row r="608" ht="15.75" customHeight="1">
      <c r="B608" s="142"/>
      <c r="J608" s="169"/>
    </row>
    <row r="609" ht="15.75" customHeight="1">
      <c r="B609" s="142"/>
      <c r="J609" s="169"/>
    </row>
    <row r="610" ht="15.75" customHeight="1">
      <c r="B610" s="142"/>
      <c r="J610" s="169"/>
    </row>
    <row r="611" ht="15.75" customHeight="1">
      <c r="B611" s="142"/>
      <c r="J611" s="169"/>
    </row>
    <row r="612" ht="15.75" customHeight="1">
      <c r="B612" s="142"/>
      <c r="J612" s="169"/>
    </row>
    <row r="613" ht="15.75" customHeight="1">
      <c r="B613" s="142"/>
      <c r="J613" s="169"/>
    </row>
    <row r="614" ht="15.75" customHeight="1">
      <c r="B614" s="142"/>
      <c r="J614" s="169"/>
    </row>
    <row r="615" ht="15.75" customHeight="1">
      <c r="B615" s="142"/>
      <c r="J615" s="169"/>
    </row>
    <row r="616" ht="15.75" customHeight="1">
      <c r="B616" s="142"/>
      <c r="J616" s="169"/>
    </row>
    <row r="617" ht="15.75" customHeight="1">
      <c r="B617" s="142"/>
      <c r="J617" s="169"/>
    </row>
    <row r="618" ht="15.75" customHeight="1">
      <c r="B618" s="142"/>
      <c r="J618" s="169"/>
    </row>
    <row r="619" ht="15.75" customHeight="1">
      <c r="B619" s="142"/>
      <c r="J619" s="169"/>
    </row>
    <row r="620" ht="15.75" customHeight="1">
      <c r="B620" s="142"/>
      <c r="J620" s="169"/>
    </row>
    <row r="621" ht="15.75" customHeight="1">
      <c r="B621" s="142"/>
      <c r="J621" s="169"/>
    </row>
    <row r="622" ht="15.75" customHeight="1">
      <c r="B622" s="142"/>
      <c r="J622" s="169"/>
    </row>
    <row r="623" ht="15.75" customHeight="1">
      <c r="B623" s="142"/>
      <c r="J623" s="169"/>
    </row>
    <row r="624" ht="15.75" customHeight="1">
      <c r="B624" s="142"/>
      <c r="J624" s="169"/>
    </row>
    <row r="625" ht="15.75" customHeight="1">
      <c r="B625" s="142"/>
      <c r="J625" s="169"/>
    </row>
    <row r="626" ht="15.75" customHeight="1">
      <c r="B626" s="142"/>
      <c r="J626" s="169"/>
    </row>
    <row r="627" ht="15.75" customHeight="1">
      <c r="B627" s="142"/>
      <c r="J627" s="169"/>
    </row>
    <row r="628" ht="15.75" customHeight="1">
      <c r="B628" s="142"/>
      <c r="J628" s="169"/>
    </row>
    <row r="629" ht="15.75" customHeight="1">
      <c r="B629" s="142"/>
      <c r="J629" s="169"/>
    </row>
    <row r="630" ht="15.75" customHeight="1">
      <c r="B630" s="142"/>
      <c r="J630" s="169"/>
    </row>
    <row r="631" ht="15.75" customHeight="1">
      <c r="B631" s="142"/>
      <c r="J631" s="169"/>
    </row>
    <row r="632" ht="15.75" customHeight="1">
      <c r="B632" s="142"/>
      <c r="J632" s="169"/>
    </row>
    <row r="633" ht="15.75" customHeight="1">
      <c r="B633" s="142"/>
      <c r="J633" s="169"/>
    </row>
    <row r="634" ht="15.75" customHeight="1">
      <c r="B634" s="142"/>
      <c r="J634" s="169"/>
    </row>
    <row r="635" ht="15.75" customHeight="1">
      <c r="B635" s="142"/>
      <c r="J635" s="169"/>
    </row>
    <row r="636" ht="15.75" customHeight="1">
      <c r="B636" s="142"/>
      <c r="J636" s="169"/>
    </row>
    <row r="637" ht="15.75" customHeight="1">
      <c r="B637" s="142"/>
      <c r="J637" s="169"/>
    </row>
    <row r="638" ht="15.75" customHeight="1">
      <c r="B638" s="142"/>
      <c r="J638" s="169"/>
    </row>
    <row r="639" ht="15.75" customHeight="1">
      <c r="B639" s="142"/>
      <c r="J639" s="169"/>
    </row>
    <row r="640" ht="15.75" customHeight="1">
      <c r="B640" s="142"/>
      <c r="J640" s="169"/>
    </row>
    <row r="641" ht="15.75" customHeight="1">
      <c r="B641" s="142"/>
      <c r="J641" s="169"/>
    </row>
    <row r="642" ht="15.75" customHeight="1">
      <c r="B642" s="142"/>
      <c r="J642" s="169"/>
    </row>
    <row r="643" ht="15.75" customHeight="1">
      <c r="B643" s="142"/>
      <c r="J643" s="169"/>
    </row>
    <row r="644" ht="15.75" customHeight="1">
      <c r="B644" s="142"/>
      <c r="J644" s="169"/>
    </row>
    <row r="645" ht="15.75" customHeight="1">
      <c r="B645" s="142"/>
      <c r="J645" s="169"/>
    </row>
    <row r="646" ht="15.75" customHeight="1">
      <c r="B646" s="142"/>
      <c r="J646" s="169"/>
    </row>
    <row r="647" ht="15.75" customHeight="1">
      <c r="B647" s="142"/>
      <c r="J647" s="169"/>
    </row>
    <row r="648" ht="15.75" customHeight="1">
      <c r="B648" s="142"/>
      <c r="J648" s="169"/>
    </row>
    <row r="649" ht="15.75" customHeight="1">
      <c r="B649" s="142"/>
      <c r="J649" s="169"/>
    </row>
    <row r="650" ht="15.75" customHeight="1">
      <c r="B650" s="142"/>
      <c r="J650" s="169"/>
    </row>
    <row r="651" ht="15.75" customHeight="1">
      <c r="B651" s="142"/>
      <c r="J651" s="169"/>
    </row>
    <row r="652" ht="15.75" customHeight="1">
      <c r="B652" s="142"/>
      <c r="J652" s="169"/>
    </row>
    <row r="653" ht="15.75" customHeight="1">
      <c r="B653" s="142"/>
      <c r="J653" s="169"/>
    </row>
    <row r="654" ht="15.75" customHeight="1">
      <c r="B654" s="142"/>
      <c r="J654" s="169"/>
    </row>
    <row r="655" ht="15.75" customHeight="1">
      <c r="B655" s="142"/>
      <c r="J655" s="169"/>
    </row>
    <row r="656" ht="15.75" customHeight="1">
      <c r="B656" s="142"/>
      <c r="J656" s="169"/>
    </row>
    <row r="657" ht="15.75" customHeight="1">
      <c r="B657" s="142"/>
      <c r="J657" s="169"/>
    </row>
    <row r="658" ht="15.75" customHeight="1">
      <c r="B658" s="142"/>
      <c r="J658" s="169"/>
    </row>
    <row r="659" ht="15.75" customHeight="1">
      <c r="B659" s="142"/>
      <c r="J659" s="169"/>
    </row>
    <row r="660" ht="15.75" customHeight="1">
      <c r="B660" s="142"/>
      <c r="J660" s="169"/>
    </row>
    <row r="661" ht="15.75" customHeight="1">
      <c r="B661" s="142"/>
      <c r="J661" s="169"/>
    </row>
    <row r="662" ht="15.75" customHeight="1">
      <c r="B662" s="142"/>
      <c r="J662" s="169"/>
    </row>
    <row r="663" ht="15.75" customHeight="1">
      <c r="B663" s="142"/>
      <c r="J663" s="169"/>
    </row>
    <row r="664" ht="15.75" customHeight="1">
      <c r="B664" s="142"/>
      <c r="J664" s="169"/>
    </row>
    <row r="665" ht="15.75" customHeight="1">
      <c r="B665" s="142"/>
      <c r="J665" s="169"/>
    </row>
    <row r="666" ht="15.75" customHeight="1">
      <c r="B666" s="142"/>
      <c r="J666" s="169"/>
    </row>
    <row r="667" ht="15.75" customHeight="1">
      <c r="B667" s="142"/>
      <c r="J667" s="169"/>
    </row>
    <row r="668" ht="15.75" customHeight="1">
      <c r="B668" s="142"/>
      <c r="J668" s="169"/>
    </row>
    <row r="669" ht="15.75" customHeight="1">
      <c r="B669" s="142"/>
      <c r="J669" s="169"/>
    </row>
    <row r="670" ht="15.75" customHeight="1">
      <c r="B670" s="142"/>
      <c r="J670" s="169"/>
    </row>
    <row r="671" ht="15.75" customHeight="1">
      <c r="B671" s="142"/>
      <c r="J671" s="169"/>
    </row>
    <row r="672" ht="15.75" customHeight="1">
      <c r="B672" s="142"/>
      <c r="J672" s="169"/>
    </row>
    <row r="673" ht="15.75" customHeight="1">
      <c r="B673" s="142"/>
      <c r="J673" s="169"/>
    </row>
    <row r="674" ht="15.75" customHeight="1">
      <c r="B674" s="142"/>
      <c r="J674" s="169"/>
    </row>
    <row r="675" ht="15.75" customHeight="1">
      <c r="B675" s="142"/>
      <c r="J675" s="169"/>
    </row>
    <row r="676" ht="15.75" customHeight="1">
      <c r="B676" s="142"/>
      <c r="J676" s="169"/>
    </row>
    <row r="677" ht="15.75" customHeight="1">
      <c r="B677" s="142"/>
      <c r="J677" s="169"/>
    </row>
    <row r="678" ht="15.75" customHeight="1">
      <c r="B678" s="142"/>
      <c r="J678" s="169"/>
    </row>
    <row r="679" ht="15.75" customHeight="1">
      <c r="B679" s="142"/>
      <c r="J679" s="169"/>
    </row>
    <row r="680" ht="15.75" customHeight="1">
      <c r="B680" s="142"/>
      <c r="J680" s="169"/>
    </row>
    <row r="681" ht="15.75" customHeight="1">
      <c r="B681" s="142"/>
      <c r="J681" s="169"/>
    </row>
    <row r="682" ht="15.75" customHeight="1">
      <c r="B682" s="142"/>
      <c r="J682" s="169"/>
    </row>
    <row r="683" ht="15.75" customHeight="1">
      <c r="B683" s="142"/>
      <c r="J683" s="169"/>
    </row>
    <row r="684" ht="15.75" customHeight="1">
      <c r="B684" s="142"/>
      <c r="J684" s="169"/>
    </row>
    <row r="685" ht="15.75" customHeight="1">
      <c r="B685" s="142"/>
      <c r="J685" s="169"/>
    </row>
    <row r="686" ht="15.75" customHeight="1">
      <c r="B686" s="142"/>
      <c r="J686" s="169"/>
    </row>
    <row r="687" ht="15.75" customHeight="1">
      <c r="B687" s="142"/>
      <c r="J687" s="169"/>
    </row>
    <row r="688" ht="15.75" customHeight="1">
      <c r="B688" s="142"/>
      <c r="J688" s="169"/>
    </row>
    <row r="689" ht="15.75" customHeight="1">
      <c r="B689" s="142"/>
      <c r="J689" s="169"/>
    </row>
    <row r="690" ht="15.75" customHeight="1">
      <c r="B690" s="142"/>
      <c r="J690" s="169"/>
    </row>
    <row r="691" ht="15.75" customHeight="1">
      <c r="B691" s="142"/>
      <c r="J691" s="169"/>
    </row>
    <row r="692" ht="15.75" customHeight="1">
      <c r="B692" s="142"/>
      <c r="J692" s="169"/>
    </row>
    <row r="693" ht="15.75" customHeight="1">
      <c r="B693" s="142"/>
      <c r="J693" s="169"/>
    </row>
    <row r="694" ht="15.75" customHeight="1">
      <c r="B694" s="142"/>
      <c r="J694" s="169"/>
    </row>
    <row r="695" ht="15.75" customHeight="1">
      <c r="B695" s="142"/>
      <c r="J695" s="169"/>
    </row>
    <row r="696" ht="15.75" customHeight="1">
      <c r="B696" s="142"/>
      <c r="J696" s="169"/>
    </row>
    <row r="697" ht="15.75" customHeight="1">
      <c r="B697" s="142"/>
      <c r="J697" s="169"/>
    </row>
    <row r="698" ht="15.75" customHeight="1">
      <c r="B698" s="142"/>
      <c r="J698" s="169"/>
    </row>
    <row r="699" ht="15.75" customHeight="1">
      <c r="B699" s="142"/>
      <c r="J699" s="169"/>
    </row>
    <row r="700" ht="15.75" customHeight="1">
      <c r="B700" s="142"/>
      <c r="J700" s="169"/>
    </row>
    <row r="701" ht="15.75" customHeight="1">
      <c r="B701" s="142"/>
      <c r="J701" s="169"/>
    </row>
    <row r="702" ht="15.75" customHeight="1">
      <c r="B702" s="142"/>
      <c r="J702" s="169"/>
    </row>
    <row r="703" ht="15.75" customHeight="1">
      <c r="B703" s="142"/>
      <c r="J703" s="169"/>
    </row>
    <row r="704" ht="15.75" customHeight="1">
      <c r="B704" s="142"/>
      <c r="J704" s="169"/>
    </row>
    <row r="705" ht="15.75" customHeight="1">
      <c r="B705" s="142"/>
      <c r="J705" s="169"/>
    </row>
    <row r="706" ht="15.75" customHeight="1">
      <c r="B706" s="142"/>
      <c r="J706" s="169"/>
    </row>
    <row r="707" ht="15.75" customHeight="1">
      <c r="B707" s="142"/>
      <c r="J707" s="169"/>
    </row>
    <row r="708" ht="15.75" customHeight="1">
      <c r="B708" s="142"/>
      <c r="J708" s="169"/>
    </row>
    <row r="709" ht="15.75" customHeight="1">
      <c r="B709" s="142"/>
      <c r="J709" s="169"/>
    </row>
    <row r="710" ht="15.75" customHeight="1">
      <c r="B710" s="142"/>
      <c r="J710" s="169"/>
    </row>
    <row r="711" ht="15.75" customHeight="1">
      <c r="B711" s="142"/>
      <c r="J711" s="169"/>
    </row>
    <row r="712" ht="15.75" customHeight="1">
      <c r="B712" s="142"/>
      <c r="J712" s="169"/>
    </row>
    <row r="713" ht="15.75" customHeight="1">
      <c r="B713" s="142"/>
      <c r="J713" s="169"/>
    </row>
    <row r="714" ht="15.75" customHeight="1">
      <c r="B714" s="142"/>
      <c r="J714" s="169"/>
    </row>
    <row r="715" ht="15.75" customHeight="1">
      <c r="B715" s="142"/>
      <c r="J715" s="169"/>
    </row>
    <row r="716" ht="15.75" customHeight="1">
      <c r="B716" s="142"/>
      <c r="J716" s="169"/>
    </row>
    <row r="717" ht="15.75" customHeight="1">
      <c r="B717" s="142"/>
      <c r="J717" s="169"/>
    </row>
    <row r="718" ht="15.75" customHeight="1">
      <c r="B718" s="142"/>
      <c r="J718" s="169"/>
    </row>
    <row r="719" ht="15.75" customHeight="1">
      <c r="B719" s="142"/>
      <c r="J719" s="169"/>
    </row>
    <row r="720" ht="15.75" customHeight="1">
      <c r="B720" s="142"/>
      <c r="J720" s="169"/>
    </row>
    <row r="721" ht="15.75" customHeight="1">
      <c r="B721" s="142"/>
      <c r="J721" s="169"/>
    </row>
    <row r="722" ht="15.75" customHeight="1">
      <c r="B722" s="142"/>
      <c r="J722" s="169"/>
    </row>
    <row r="723" ht="15.75" customHeight="1">
      <c r="B723" s="142"/>
      <c r="J723" s="169"/>
    </row>
    <row r="724" ht="15.75" customHeight="1">
      <c r="B724" s="142"/>
      <c r="J724" s="169"/>
    </row>
    <row r="725" ht="15.75" customHeight="1">
      <c r="B725" s="142"/>
      <c r="J725" s="169"/>
    </row>
    <row r="726" ht="15.75" customHeight="1">
      <c r="B726" s="142"/>
      <c r="J726" s="169"/>
    </row>
    <row r="727" ht="15.75" customHeight="1">
      <c r="B727" s="142"/>
      <c r="J727" s="169"/>
    </row>
    <row r="728" ht="15.75" customHeight="1">
      <c r="B728" s="142"/>
      <c r="J728" s="169"/>
    </row>
    <row r="729" ht="15.75" customHeight="1">
      <c r="B729" s="142"/>
      <c r="J729" s="169"/>
    </row>
    <row r="730" ht="15.75" customHeight="1">
      <c r="B730" s="142"/>
      <c r="J730" s="169"/>
    </row>
    <row r="731" ht="15.75" customHeight="1">
      <c r="B731" s="142"/>
      <c r="J731" s="169"/>
    </row>
    <row r="732" ht="15.75" customHeight="1">
      <c r="B732" s="142"/>
      <c r="J732" s="169"/>
    </row>
    <row r="733" ht="15.75" customHeight="1">
      <c r="B733" s="142"/>
      <c r="J733" s="169"/>
    </row>
    <row r="734" ht="15.75" customHeight="1">
      <c r="B734" s="142"/>
      <c r="J734" s="169"/>
    </row>
    <row r="735" ht="15.75" customHeight="1">
      <c r="B735" s="142"/>
      <c r="J735" s="169"/>
    </row>
    <row r="736" ht="15.75" customHeight="1">
      <c r="B736" s="142"/>
      <c r="J736" s="169"/>
    </row>
    <row r="737" ht="15.75" customHeight="1">
      <c r="B737" s="142"/>
      <c r="J737" s="169"/>
    </row>
    <row r="738" ht="15.75" customHeight="1">
      <c r="B738" s="142"/>
      <c r="J738" s="169"/>
    </row>
    <row r="739" ht="15.75" customHeight="1">
      <c r="B739" s="142"/>
      <c r="J739" s="169"/>
    </row>
    <row r="740" ht="15.75" customHeight="1">
      <c r="B740" s="142"/>
      <c r="J740" s="169"/>
    </row>
    <row r="741" ht="15.75" customHeight="1">
      <c r="B741" s="142"/>
      <c r="J741" s="169"/>
    </row>
    <row r="742" ht="15.75" customHeight="1">
      <c r="B742" s="142"/>
      <c r="J742" s="169"/>
    </row>
    <row r="743" ht="15.75" customHeight="1">
      <c r="B743" s="142"/>
      <c r="J743" s="169"/>
    </row>
    <row r="744" ht="15.75" customHeight="1">
      <c r="B744" s="142"/>
      <c r="J744" s="169"/>
    </row>
    <row r="745" ht="15.75" customHeight="1">
      <c r="B745" s="142"/>
      <c r="J745" s="169"/>
    </row>
    <row r="746" ht="15.75" customHeight="1">
      <c r="B746" s="142"/>
      <c r="J746" s="169"/>
    </row>
    <row r="747" ht="15.75" customHeight="1">
      <c r="B747" s="142"/>
      <c r="J747" s="169"/>
    </row>
    <row r="748" ht="15.75" customHeight="1">
      <c r="B748" s="142"/>
      <c r="J748" s="169"/>
    </row>
    <row r="749" ht="15.75" customHeight="1">
      <c r="B749" s="142"/>
      <c r="J749" s="169"/>
    </row>
    <row r="750" ht="15.75" customHeight="1">
      <c r="B750" s="142"/>
      <c r="J750" s="169"/>
    </row>
    <row r="751" ht="15.75" customHeight="1">
      <c r="B751" s="142"/>
      <c r="J751" s="169"/>
    </row>
    <row r="752" ht="15.75" customHeight="1">
      <c r="B752" s="142"/>
      <c r="J752" s="169"/>
    </row>
    <row r="753" ht="15.75" customHeight="1">
      <c r="B753" s="142"/>
      <c r="J753" s="169"/>
    </row>
    <row r="754" ht="15.75" customHeight="1">
      <c r="B754" s="142"/>
      <c r="J754" s="169"/>
    </row>
    <row r="755" ht="15.75" customHeight="1">
      <c r="B755" s="142"/>
      <c r="J755" s="169"/>
    </row>
    <row r="756" ht="15.75" customHeight="1">
      <c r="B756" s="142"/>
      <c r="J756" s="169"/>
    </row>
    <row r="757" ht="15.75" customHeight="1">
      <c r="B757" s="142"/>
      <c r="J757" s="169"/>
    </row>
    <row r="758" ht="15.75" customHeight="1">
      <c r="B758" s="142"/>
      <c r="J758" s="169"/>
    </row>
    <row r="759" ht="15.75" customHeight="1">
      <c r="B759" s="142"/>
      <c r="J759" s="169"/>
    </row>
    <row r="760" ht="15.75" customHeight="1">
      <c r="B760" s="142"/>
      <c r="J760" s="169"/>
    </row>
    <row r="761" ht="15.75" customHeight="1">
      <c r="B761" s="142"/>
      <c r="J761" s="169"/>
    </row>
    <row r="762" ht="15.75" customHeight="1">
      <c r="B762" s="142"/>
      <c r="J762" s="169"/>
    </row>
    <row r="763" ht="15.75" customHeight="1">
      <c r="B763" s="142"/>
      <c r="J763" s="169"/>
    </row>
    <row r="764" ht="15.75" customHeight="1">
      <c r="B764" s="142"/>
      <c r="J764" s="169"/>
    </row>
    <row r="765" ht="15.75" customHeight="1">
      <c r="B765" s="142"/>
      <c r="J765" s="169"/>
    </row>
    <row r="766" ht="15.75" customHeight="1">
      <c r="B766" s="142"/>
      <c r="J766" s="169"/>
    </row>
    <row r="767" ht="15.75" customHeight="1">
      <c r="B767" s="142"/>
      <c r="J767" s="169"/>
    </row>
    <row r="768" ht="15.75" customHeight="1">
      <c r="B768" s="142"/>
      <c r="J768" s="169"/>
    </row>
    <row r="769" ht="15.75" customHeight="1">
      <c r="B769" s="142"/>
      <c r="J769" s="169"/>
    </row>
    <row r="770" ht="15.75" customHeight="1">
      <c r="B770" s="142"/>
      <c r="J770" s="169"/>
    </row>
    <row r="771" ht="15.75" customHeight="1">
      <c r="B771" s="142"/>
      <c r="J771" s="169"/>
    </row>
    <row r="772" ht="15.75" customHeight="1">
      <c r="B772" s="142"/>
      <c r="J772" s="169"/>
    </row>
    <row r="773" ht="15.75" customHeight="1">
      <c r="B773" s="142"/>
      <c r="J773" s="169"/>
    </row>
    <row r="774" ht="15.75" customHeight="1">
      <c r="B774" s="142"/>
      <c r="J774" s="169"/>
    </row>
    <row r="775" ht="15.75" customHeight="1">
      <c r="B775" s="142"/>
      <c r="J775" s="169"/>
    </row>
    <row r="776" ht="15.75" customHeight="1">
      <c r="B776" s="142"/>
      <c r="J776" s="169"/>
    </row>
    <row r="777" ht="15.75" customHeight="1">
      <c r="B777" s="142"/>
      <c r="J777" s="169"/>
    </row>
    <row r="778" ht="15.75" customHeight="1">
      <c r="B778" s="142"/>
      <c r="J778" s="169"/>
    </row>
    <row r="779" ht="15.75" customHeight="1">
      <c r="B779" s="142"/>
      <c r="J779" s="169"/>
    </row>
    <row r="780" ht="15.75" customHeight="1">
      <c r="B780" s="142"/>
      <c r="J780" s="169"/>
    </row>
    <row r="781" ht="15.75" customHeight="1">
      <c r="B781" s="142"/>
      <c r="J781" s="169"/>
    </row>
    <row r="782" ht="15.75" customHeight="1">
      <c r="B782" s="142"/>
      <c r="J782" s="169"/>
    </row>
    <row r="783" ht="15.75" customHeight="1">
      <c r="B783" s="142"/>
      <c r="J783" s="169"/>
    </row>
    <row r="784" ht="15.75" customHeight="1">
      <c r="B784" s="142"/>
      <c r="J784" s="169"/>
    </row>
    <row r="785" ht="15.75" customHeight="1">
      <c r="B785" s="142"/>
      <c r="J785" s="169"/>
    </row>
    <row r="786" ht="15.75" customHeight="1">
      <c r="B786" s="142"/>
      <c r="J786" s="169"/>
    </row>
    <row r="787" ht="15.75" customHeight="1">
      <c r="B787" s="142"/>
      <c r="J787" s="169"/>
    </row>
    <row r="788" ht="15.75" customHeight="1">
      <c r="B788" s="142"/>
      <c r="J788" s="169"/>
    </row>
    <row r="789" ht="15.75" customHeight="1">
      <c r="B789" s="142"/>
      <c r="J789" s="169"/>
    </row>
    <row r="790" ht="15.75" customHeight="1">
      <c r="B790" s="142"/>
      <c r="J790" s="169"/>
    </row>
    <row r="791" ht="15.75" customHeight="1">
      <c r="B791" s="142"/>
      <c r="J791" s="169"/>
    </row>
    <row r="792" ht="15.75" customHeight="1">
      <c r="B792" s="142"/>
      <c r="J792" s="169"/>
    </row>
    <row r="793" ht="15.75" customHeight="1">
      <c r="B793" s="142"/>
      <c r="J793" s="169"/>
    </row>
    <row r="794" ht="15.75" customHeight="1">
      <c r="B794" s="142"/>
      <c r="J794" s="169"/>
    </row>
    <row r="795" ht="15.75" customHeight="1">
      <c r="B795" s="142"/>
      <c r="J795" s="169"/>
    </row>
    <row r="796" ht="15.75" customHeight="1">
      <c r="B796" s="142"/>
      <c r="J796" s="169"/>
    </row>
    <row r="797" ht="15.75" customHeight="1">
      <c r="B797" s="142"/>
      <c r="J797" s="169"/>
    </row>
    <row r="798" ht="15.75" customHeight="1">
      <c r="B798" s="142"/>
      <c r="J798" s="169"/>
    </row>
    <row r="799" ht="15.75" customHeight="1">
      <c r="B799" s="142"/>
      <c r="J799" s="169"/>
    </row>
    <row r="800" ht="15.75" customHeight="1">
      <c r="B800" s="142"/>
      <c r="J800" s="169"/>
    </row>
    <row r="801" ht="15.75" customHeight="1">
      <c r="B801" s="142"/>
      <c r="J801" s="169"/>
    </row>
    <row r="802" ht="15.75" customHeight="1">
      <c r="B802" s="142"/>
      <c r="J802" s="169"/>
    </row>
    <row r="803" ht="15.75" customHeight="1">
      <c r="B803" s="142"/>
      <c r="J803" s="169"/>
    </row>
    <row r="804" ht="15.75" customHeight="1">
      <c r="B804" s="142"/>
      <c r="J804" s="169"/>
    </row>
    <row r="805" ht="15.75" customHeight="1">
      <c r="B805" s="142"/>
      <c r="J805" s="169"/>
    </row>
    <row r="806" ht="15.75" customHeight="1">
      <c r="B806" s="142"/>
      <c r="J806" s="169"/>
    </row>
    <row r="807" ht="15.75" customHeight="1">
      <c r="B807" s="142"/>
      <c r="J807" s="169"/>
    </row>
    <row r="808" ht="15.75" customHeight="1">
      <c r="B808" s="142"/>
      <c r="J808" s="169"/>
    </row>
    <row r="809" ht="15.75" customHeight="1">
      <c r="B809" s="142"/>
      <c r="J809" s="169"/>
    </row>
    <row r="810" ht="15.75" customHeight="1">
      <c r="B810" s="142"/>
      <c r="J810" s="169"/>
    </row>
    <row r="811" ht="15.75" customHeight="1">
      <c r="B811" s="142"/>
      <c r="J811" s="169"/>
    </row>
    <row r="812" ht="15.75" customHeight="1">
      <c r="B812" s="142"/>
      <c r="J812" s="169"/>
    </row>
    <row r="813" ht="15.75" customHeight="1">
      <c r="B813" s="142"/>
      <c r="J813" s="169"/>
    </row>
    <row r="814" ht="15.75" customHeight="1">
      <c r="B814" s="142"/>
      <c r="J814" s="169"/>
    </row>
    <row r="815" ht="15.75" customHeight="1">
      <c r="B815" s="142"/>
      <c r="J815" s="169"/>
    </row>
    <row r="816" ht="15.75" customHeight="1">
      <c r="B816" s="142"/>
      <c r="J816" s="169"/>
    </row>
    <row r="817" ht="15.75" customHeight="1">
      <c r="B817" s="142"/>
      <c r="J817" s="169"/>
    </row>
    <row r="818" ht="15.75" customHeight="1">
      <c r="B818" s="142"/>
      <c r="J818" s="169"/>
    </row>
    <row r="819" ht="15.75" customHeight="1">
      <c r="B819" s="142"/>
      <c r="J819" s="169"/>
    </row>
    <row r="820" ht="15.75" customHeight="1">
      <c r="B820" s="142"/>
      <c r="J820" s="169"/>
    </row>
    <row r="821" ht="15.75" customHeight="1">
      <c r="B821" s="142"/>
      <c r="J821" s="169"/>
    </row>
    <row r="822" ht="15.75" customHeight="1">
      <c r="B822" s="142"/>
      <c r="J822" s="169"/>
    </row>
    <row r="823" ht="15.75" customHeight="1">
      <c r="B823" s="142"/>
      <c r="J823" s="169"/>
    </row>
    <row r="824" ht="15.75" customHeight="1">
      <c r="B824" s="142"/>
      <c r="J824" s="169"/>
    </row>
    <row r="825" ht="15.75" customHeight="1">
      <c r="B825" s="142"/>
      <c r="J825" s="169"/>
    </row>
    <row r="826" ht="15.75" customHeight="1">
      <c r="B826" s="142"/>
      <c r="J826" s="169"/>
    </row>
    <row r="827" ht="15.75" customHeight="1">
      <c r="B827" s="142"/>
      <c r="J827" s="169"/>
    </row>
    <row r="828" ht="15.75" customHeight="1">
      <c r="B828" s="142"/>
      <c r="J828" s="169"/>
    </row>
    <row r="829" ht="15.75" customHeight="1">
      <c r="B829" s="142"/>
      <c r="J829" s="169"/>
    </row>
    <row r="830" ht="15.75" customHeight="1">
      <c r="B830" s="142"/>
      <c r="J830" s="169"/>
    </row>
    <row r="831" ht="15.75" customHeight="1">
      <c r="B831" s="142"/>
      <c r="J831" s="169"/>
    </row>
    <row r="832" ht="15.75" customHeight="1">
      <c r="B832" s="142"/>
      <c r="J832" s="169"/>
    </row>
    <row r="833" ht="15.75" customHeight="1">
      <c r="B833" s="142"/>
      <c r="J833" s="169"/>
    </row>
    <row r="834" ht="15.75" customHeight="1">
      <c r="B834" s="142"/>
      <c r="J834" s="169"/>
    </row>
    <row r="835" ht="15.75" customHeight="1">
      <c r="B835" s="142"/>
      <c r="J835" s="169"/>
    </row>
    <row r="836" ht="15.75" customHeight="1">
      <c r="B836" s="142"/>
      <c r="J836" s="169"/>
    </row>
    <row r="837" ht="15.75" customHeight="1">
      <c r="B837" s="142"/>
      <c r="J837" s="169"/>
    </row>
    <row r="838" ht="15.75" customHeight="1">
      <c r="B838" s="142"/>
      <c r="J838" s="169"/>
    </row>
    <row r="839" ht="15.75" customHeight="1">
      <c r="B839" s="142"/>
      <c r="J839" s="169"/>
    </row>
    <row r="840" ht="15.75" customHeight="1">
      <c r="B840" s="142"/>
      <c r="J840" s="169"/>
    </row>
    <row r="841" ht="15.75" customHeight="1">
      <c r="B841" s="142"/>
      <c r="J841" s="169"/>
    </row>
    <row r="842" ht="15.75" customHeight="1">
      <c r="B842" s="142"/>
      <c r="J842" s="169"/>
    </row>
    <row r="843" ht="15.75" customHeight="1">
      <c r="B843" s="142"/>
      <c r="J843" s="169"/>
    </row>
    <row r="844" ht="15.75" customHeight="1">
      <c r="B844" s="142"/>
      <c r="J844" s="169"/>
    </row>
    <row r="845" ht="15.75" customHeight="1">
      <c r="B845" s="142"/>
      <c r="J845" s="169"/>
    </row>
    <row r="846" ht="15.75" customHeight="1">
      <c r="B846" s="142"/>
      <c r="J846" s="169"/>
    </row>
    <row r="847" ht="15.75" customHeight="1">
      <c r="B847" s="142"/>
      <c r="J847" s="169"/>
    </row>
    <row r="848" ht="15.75" customHeight="1">
      <c r="B848" s="142"/>
      <c r="J848" s="169"/>
    </row>
    <row r="849" ht="15.75" customHeight="1">
      <c r="B849" s="142"/>
      <c r="J849" s="169"/>
    </row>
    <row r="850" ht="15.75" customHeight="1">
      <c r="B850" s="142"/>
      <c r="J850" s="169"/>
    </row>
    <row r="851" ht="15.75" customHeight="1">
      <c r="B851" s="142"/>
      <c r="J851" s="169"/>
    </row>
    <row r="852" ht="15.75" customHeight="1">
      <c r="B852" s="142"/>
      <c r="J852" s="169"/>
    </row>
    <row r="853" ht="15.75" customHeight="1">
      <c r="B853" s="142"/>
      <c r="J853" s="169"/>
    </row>
    <row r="854" ht="15.75" customHeight="1">
      <c r="B854" s="142"/>
      <c r="J854" s="169"/>
    </row>
    <row r="855" ht="15.75" customHeight="1">
      <c r="B855" s="142"/>
      <c r="J855" s="169"/>
    </row>
    <row r="856" ht="15.75" customHeight="1">
      <c r="B856" s="142"/>
      <c r="J856" s="169"/>
    </row>
    <row r="857" ht="15.75" customHeight="1">
      <c r="B857" s="142"/>
      <c r="J857" s="169"/>
    </row>
    <row r="858" ht="15.75" customHeight="1">
      <c r="B858" s="142"/>
      <c r="J858" s="169"/>
    </row>
    <row r="859" ht="15.75" customHeight="1">
      <c r="B859" s="142"/>
      <c r="J859" s="169"/>
    </row>
    <row r="860" ht="15.75" customHeight="1">
      <c r="B860" s="142"/>
      <c r="J860" s="169"/>
    </row>
    <row r="861" ht="15.75" customHeight="1">
      <c r="B861" s="142"/>
      <c r="J861" s="169"/>
    </row>
    <row r="862" ht="15.75" customHeight="1">
      <c r="B862" s="142"/>
      <c r="J862" s="169"/>
    </row>
    <row r="863" ht="15.75" customHeight="1">
      <c r="B863" s="142"/>
      <c r="J863" s="169"/>
    </row>
    <row r="864" ht="15.75" customHeight="1">
      <c r="B864" s="142"/>
      <c r="J864" s="169"/>
    </row>
    <row r="865" ht="15.75" customHeight="1">
      <c r="B865" s="142"/>
      <c r="J865" s="169"/>
    </row>
    <row r="866" ht="15.75" customHeight="1">
      <c r="B866" s="142"/>
      <c r="J866" s="169"/>
    </row>
    <row r="867" ht="15.75" customHeight="1">
      <c r="B867" s="142"/>
      <c r="J867" s="169"/>
    </row>
    <row r="868" ht="15.75" customHeight="1">
      <c r="B868" s="142"/>
      <c r="J868" s="169"/>
    </row>
    <row r="869" ht="15.75" customHeight="1">
      <c r="B869" s="142"/>
      <c r="J869" s="169"/>
    </row>
    <row r="870" ht="15.75" customHeight="1">
      <c r="B870" s="142"/>
      <c r="J870" s="169"/>
    </row>
    <row r="871" ht="15.75" customHeight="1">
      <c r="B871" s="142"/>
      <c r="J871" s="169"/>
    </row>
    <row r="872" ht="15.75" customHeight="1">
      <c r="B872" s="142"/>
      <c r="J872" s="169"/>
    </row>
    <row r="873" ht="15.75" customHeight="1">
      <c r="B873" s="142"/>
      <c r="J873" s="169"/>
    </row>
    <row r="874" ht="15.75" customHeight="1">
      <c r="B874" s="142"/>
      <c r="J874" s="169"/>
    </row>
    <row r="875" ht="15.75" customHeight="1">
      <c r="B875" s="142"/>
      <c r="J875" s="169"/>
    </row>
    <row r="876" ht="15.75" customHeight="1">
      <c r="B876" s="142"/>
      <c r="J876" s="169"/>
    </row>
    <row r="877" ht="15.75" customHeight="1">
      <c r="B877" s="142"/>
      <c r="J877" s="169"/>
    </row>
    <row r="878" ht="15.75" customHeight="1">
      <c r="B878" s="142"/>
      <c r="J878" s="169"/>
    </row>
    <row r="879" ht="15.75" customHeight="1">
      <c r="B879" s="142"/>
      <c r="J879" s="169"/>
    </row>
    <row r="880" ht="15.75" customHeight="1">
      <c r="B880" s="142"/>
      <c r="J880" s="169"/>
    </row>
    <row r="881" ht="15.75" customHeight="1">
      <c r="B881" s="142"/>
      <c r="J881" s="169"/>
    </row>
    <row r="882" ht="15.75" customHeight="1">
      <c r="B882" s="142"/>
      <c r="J882" s="169"/>
    </row>
    <row r="883" ht="15.75" customHeight="1">
      <c r="B883" s="142"/>
      <c r="J883" s="169"/>
    </row>
    <row r="884" ht="15.75" customHeight="1">
      <c r="B884" s="142"/>
      <c r="J884" s="169"/>
    </row>
    <row r="885" ht="15.75" customHeight="1">
      <c r="B885" s="142"/>
      <c r="J885" s="169"/>
    </row>
    <row r="886" ht="15.75" customHeight="1">
      <c r="B886" s="142"/>
      <c r="J886" s="169"/>
    </row>
    <row r="887" ht="15.75" customHeight="1">
      <c r="B887" s="142"/>
      <c r="J887" s="169"/>
    </row>
    <row r="888" ht="15.75" customHeight="1">
      <c r="B888" s="142"/>
      <c r="J888" s="169"/>
    </row>
    <row r="889" ht="15.75" customHeight="1">
      <c r="B889" s="142"/>
      <c r="J889" s="169"/>
    </row>
    <row r="890" ht="15.75" customHeight="1">
      <c r="B890" s="142"/>
      <c r="J890" s="169"/>
    </row>
    <row r="891" ht="15.75" customHeight="1">
      <c r="B891" s="142"/>
      <c r="J891" s="169"/>
    </row>
    <row r="892" ht="15.75" customHeight="1">
      <c r="B892" s="142"/>
      <c r="J892" s="169"/>
    </row>
    <row r="893" ht="15.75" customHeight="1">
      <c r="B893" s="142"/>
      <c r="J893" s="169"/>
    </row>
    <row r="894" ht="15.75" customHeight="1">
      <c r="B894" s="142"/>
      <c r="J894" s="169"/>
    </row>
    <row r="895" ht="15.75" customHeight="1">
      <c r="B895" s="142"/>
      <c r="J895" s="169"/>
    </row>
    <row r="896" ht="15.75" customHeight="1">
      <c r="B896" s="142"/>
      <c r="J896" s="169"/>
    </row>
    <row r="897" ht="15.75" customHeight="1">
      <c r="B897" s="142"/>
      <c r="J897" s="169"/>
    </row>
    <row r="898" ht="15.75" customHeight="1">
      <c r="B898" s="142"/>
      <c r="J898" s="169"/>
    </row>
    <row r="899" ht="15.75" customHeight="1">
      <c r="B899" s="142"/>
      <c r="J899" s="169"/>
    </row>
    <row r="900" ht="15.75" customHeight="1">
      <c r="B900" s="142"/>
      <c r="J900" s="169"/>
    </row>
    <row r="901" ht="15.75" customHeight="1">
      <c r="B901" s="142"/>
      <c r="J901" s="169"/>
    </row>
    <row r="902" ht="15.75" customHeight="1">
      <c r="B902" s="142"/>
      <c r="J902" s="169"/>
    </row>
    <row r="903" ht="15.75" customHeight="1">
      <c r="B903" s="142"/>
      <c r="J903" s="169"/>
    </row>
    <row r="904" ht="15.75" customHeight="1">
      <c r="B904" s="142"/>
      <c r="J904" s="169"/>
    </row>
    <row r="905" ht="15.75" customHeight="1">
      <c r="B905" s="142"/>
      <c r="J905" s="169"/>
    </row>
    <row r="906" ht="15.75" customHeight="1">
      <c r="B906" s="142"/>
      <c r="J906" s="169"/>
    </row>
    <row r="907" ht="15.75" customHeight="1">
      <c r="B907" s="142"/>
      <c r="J907" s="169"/>
    </row>
    <row r="908" ht="15.75" customHeight="1">
      <c r="B908" s="142"/>
      <c r="J908" s="169"/>
    </row>
    <row r="909" ht="15.75" customHeight="1">
      <c r="B909" s="142"/>
      <c r="J909" s="169"/>
    </row>
    <row r="910" ht="15.75" customHeight="1">
      <c r="B910" s="142"/>
      <c r="J910" s="169"/>
    </row>
    <row r="911" ht="15.75" customHeight="1">
      <c r="B911" s="142"/>
      <c r="J911" s="169"/>
    </row>
    <row r="912" ht="15.75" customHeight="1">
      <c r="B912" s="142"/>
      <c r="J912" s="169"/>
    </row>
    <row r="913" ht="15.75" customHeight="1">
      <c r="B913" s="142"/>
      <c r="J913" s="169"/>
    </row>
    <row r="914" ht="15.75" customHeight="1">
      <c r="B914" s="142"/>
      <c r="J914" s="169"/>
    </row>
    <row r="915" ht="15.75" customHeight="1">
      <c r="B915" s="142"/>
      <c r="J915" s="169"/>
    </row>
    <row r="916" ht="15.75" customHeight="1">
      <c r="B916" s="142"/>
      <c r="J916" s="169"/>
    </row>
    <row r="917" ht="15.75" customHeight="1">
      <c r="B917" s="142"/>
      <c r="J917" s="169"/>
    </row>
    <row r="918" ht="15.75" customHeight="1">
      <c r="B918" s="142"/>
      <c r="J918" s="169"/>
    </row>
    <row r="919" ht="15.75" customHeight="1">
      <c r="B919" s="142"/>
      <c r="J919" s="169"/>
    </row>
    <row r="920" ht="15.75" customHeight="1">
      <c r="B920" s="142"/>
      <c r="J920" s="169"/>
    </row>
    <row r="921" ht="15.75" customHeight="1">
      <c r="B921" s="142"/>
      <c r="J921" s="169"/>
    </row>
    <row r="922" ht="15.75" customHeight="1">
      <c r="B922" s="142"/>
      <c r="J922" s="169"/>
    </row>
    <row r="923" ht="15.75" customHeight="1">
      <c r="B923" s="142"/>
      <c r="J923" s="169"/>
    </row>
    <row r="924" ht="15.75" customHeight="1">
      <c r="B924" s="142"/>
      <c r="J924" s="169"/>
    </row>
    <row r="925" ht="15.75" customHeight="1">
      <c r="B925" s="142"/>
      <c r="J925" s="169"/>
    </row>
    <row r="926" ht="15.75" customHeight="1">
      <c r="B926" s="142"/>
      <c r="J926" s="169"/>
    </row>
    <row r="927" ht="15.75" customHeight="1">
      <c r="B927" s="142"/>
      <c r="J927" s="169"/>
    </row>
    <row r="928" ht="15.75" customHeight="1">
      <c r="B928" s="142"/>
      <c r="J928" s="169"/>
    </row>
    <row r="929" ht="15.75" customHeight="1">
      <c r="B929" s="142"/>
      <c r="J929" s="169"/>
    </row>
    <row r="930" ht="15.75" customHeight="1">
      <c r="B930" s="142"/>
      <c r="J930" s="169"/>
    </row>
    <row r="931" ht="15.75" customHeight="1">
      <c r="B931" s="142"/>
      <c r="J931" s="169"/>
    </row>
    <row r="932" ht="15.75" customHeight="1">
      <c r="B932" s="142"/>
      <c r="J932" s="169"/>
    </row>
    <row r="933" ht="15.75" customHeight="1">
      <c r="B933" s="142"/>
      <c r="J933" s="169"/>
    </row>
    <row r="934" ht="15.75" customHeight="1">
      <c r="B934" s="142"/>
      <c r="J934" s="169"/>
    </row>
    <row r="935" ht="15.75" customHeight="1">
      <c r="B935" s="142"/>
      <c r="J935" s="169"/>
    </row>
    <row r="936" ht="15.75" customHeight="1">
      <c r="B936" s="142"/>
      <c r="J936" s="169"/>
    </row>
    <row r="937" ht="15.75" customHeight="1">
      <c r="B937" s="142"/>
      <c r="J937" s="169"/>
    </row>
    <row r="938" ht="15.75" customHeight="1">
      <c r="B938" s="142"/>
      <c r="J938" s="169"/>
    </row>
    <row r="939" ht="15.75" customHeight="1">
      <c r="B939" s="142"/>
      <c r="J939" s="169"/>
    </row>
    <row r="940" ht="15.75" customHeight="1">
      <c r="B940" s="142"/>
      <c r="J940" s="169"/>
    </row>
    <row r="941" ht="15.75" customHeight="1">
      <c r="B941" s="142"/>
      <c r="J941" s="169"/>
    </row>
    <row r="942" ht="15.75" customHeight="1">
      <c r="B942" s="142"/>
      <c r="J942" s="169"/>
    </row>
    <row r="943" ht="15.75" customHeight="1">
      <c r="B943" s="142"/>
      <c r="J943" s="169"/>
    </row>
    <row r="944" ht="15.75" customHeight="1">
      <c r="B944" s="142"/>
      <c r="J944" s="169"/>
    </row>
    <row r="945" ht="15.75" customHeight="1">
      <c r="B945" s="142"/>
      <c r="J945" s="169"/>
    </row>
    <row r="946" ht="15.75" customHeight="1">
      <c r="B946" s="142"/>
      <c r="J946" s="169"/>
    </row>
    <row r="947" ht="15.75" customHeight="1">
      <c r="B947" s="142"/>
      <c r="J947" s="169"/>
    </row>
    <row r="948" ht="15.75" customHeight="1">
      <c r="B948" s="142"/>
      <c r="J948" s="169"/>
    </row>
    <row r="949" ht="15.75" customHeight="1">
      <c r="B949" s="142"/>
      <c r="J949" s="169"/>
    </row>
    <row r="950" ht="15.75" customHeight="1">
      <c r="B950" s="142"/>
      <c r="J950" s="169"/>
    </row>
    <row r="951" ht="15.75" customHeight="1">
      <c r="B951" s="142"/>
      <c r="J951" s="169"/>
    </row>
    <row r="952" ht="15.75" customHeight="1">
      <c r="B952" s="142"/>
      <c r="J952" s="169"/>
    </row>
    <row r="953" ht="15.75" customHeight="1">
      <c r="B953" s="142"/>
      <c r="J953" s="169"/>
    </row>
    <row r="954" ht="15.75" customHeight="1">
      <c r="B954" s="142"/>
      <c r="J954" s="169"/>
    </row>
    <row r="955" ht="15.75" customHeight="1">
      <c r="B955" s="142"/>
      <c r="J955" s="169"/>
    </row>
    <row r="956" ht="15.75" customHeight="1">
      <c r="B956" s="142"/>
      <c r="J956" s="169"/>
    </row>
    <row r="957" ht="15.75" customHeight="1">
      <c r="B957" s="142"/>
      <c r="J957" s="169"/>
    </row>
    <row r="958" ht="15.75" customHeight="1">
      <c r="B958" s="142"/>
      <c r="J958" s="169"/>
    </row>
    <row r="959" ht="15.75" customHeight="1">
      <c r="B959" s="142"/>
      <c r="J959" s="169"/>
    </row>
    <row r="960" ht="15.75" customHeight="1">
      <c r="B960" s="142"/>
      <c r="J960" s="169"/>
    </row>
    <row r="961" ht="15.75" customHeight="1">
      <c r="B961" s="142"/>
      <c r="J961" s="169"/>
    </row>
    <row r="962" ht="15.75" customHeight="1">
      <c r="B962" s="142"/>
      <c r="J962" s="169"/>
    </row>
    <row r="963" ht="15.75" customHeight="1">
      <c r="B963" s="142"/>
      <c r="J963" s="169"/>
    </row>
    <row r="964" ht="15.75" customHeight="1">
      <c r="B964" s="142"/>
      <c r="J964" s="169"/>
    </row>
    <row r="965" ht="15.75" customHeight="1">
      <c r="B965" s="142"/>
      <c r="J965" s="169"/>
    </row>
    <row r="966" ht="15.75" customHeight="1">
      <c r="B966" s="142"/>
      <c r="J966" s="169"/>
    </row>
    <row r="967" ht="15.75" customHeight="1">
      <c r="B967" s="142"/>
      <c r="J967" s="169"/>
    </row>
    <row r="968" ht="15.75" customHeight="1">
      <c r="B968" s="142"/>
      <c r="J968" s="169"/>
    </row>
    <row r="969" ht="15.75" customHeight="1">
      <c r="B969" s="142"/>
      <c r="J969" s="169"/>
    </row>
    <row r="970" ht="15.75" customHeight="1">
      <c r="B970" s="142"/>
      <c r="J970" s="169"/>
    </row>
    <row r="971" ht="15.75" customHeight="1">
      <c r="B971" s="142"/>
      <c r="J971" s="169"/>
    </row>
    <row r="972" ht="15.75" customHeight="1">
      <c r="B972" s="142"/>
      <c r="J972" s="169"/>
    </row>
    <row r="973" ht="15.75" customHeight="1">
      <c r="B973" s="142"/>
      <c r="J973" s="169"/>
    </row>
    <row r="974" ht="15.75" customHeight="1">
      <c r="B974" s="142"/>
      <c r="J974" s="169"/>
    </row>
    <row r="975" ht="15.75" customHeight="1">
      <c r="B975" s="142"/>
      <c r="J975" s="169"/>
    </row>
    <row r="976" ht="15.75" customHeight="1">
      <c r="B976" s="142"/>
      <c r="J976" s="169"/>
    </row>
    <row r="977" ht="15.75" customHeight="1">
      <c r="B977" s="142"/>
      <c r="J977" s="169"/>
    </row>
    <row r="978" ht="15.75" customHeight="1">
      <c r="B978" s="142"/>
      <c r="J978" s="169"/>
    </row>
    <row r="979" ht="15.75" customHeight="1">
      <c r="B979" s="142"/>
      <c r="J979" s="169"/>
    </row>
    <row r="980" ht="15.75" customHeight="1">
      <c r="B980" s="142"/>
      <c r="J980" s="169"/>
    </row>
    <row r="981" ht="15.75" customHeight="1">
      <c r="B981" s="142"/>
      <c r="J981" s="169"/>
    </row>
    <row r="982" ht="15.75" customHeight="1">
      <c r="B982" s="142"/>
      <c r="J982" s="169"/>
    </row>
    <row r="983" ht="15.75" customHeight="1">
      <c r="B983" s="142"/>
      <c r="J983" s="169"/>
    </row>
    <row r="984" ht="15.75" customHeight="1">
      <c r="B984" s="142"/>
      <c r="J984" s="169"/>
    </row>
    <row r="985" ht="15.75" customHeight="1">
      <c r="B985" s="142"/>
      <c r="J985" s="169"/>
    </row>
    <row r="986" ht="15.75" customHeight="1">
      <c r="B986" s="142"/>
      <c r="J986" s="169"/>
    </row>
    <row r="987" ht="15.75" customHeight="1">
      <c r="B987" s="142"/>
      <c r="J987" s="169"/>
    </row>
    <row r="988" ht="15.75" customHeight="1">
      <c r="B988" s="142"/>
      <c r="J988" s="169"/>
    </row>
    <row r="989" ht="15.75" customHeight="1">
      <c r="B989" s="142"/>
      <c r="J989" s="169"/>
    </row>
    <row r="990" ht="15.75" customHeight="1">
      <c r="B990" s="142"/>
      <c r="J990" s="169"/>
    </row>
    <row r="991" ht="15.75" customHeight="1">
      <c r="B991" s="142"/>
      <c r="J991" s="169"/>
    </row>
    <row r="992" ht="15.75" customHeight="1">
      <c r="B992" s="142"/>
      <c r="J992" s="169"/>
    </row>
    <row r="993" ht="15.75" customHeight="1">
      <c r="B993" s="142"/>
      <c r="J993" s="169"/>
    </row>
    <row r="994" ht="15.75" customHeight="1">
      <c r="B994" s="142"/>
      <c r="J994" s="169"/>
    </row>
    <row r="995" ht="15.75" customHeight="1">
      <c r="B995" s="142"/>
      <c r="J995" s="169"/>
    </row>
    <row r="996" ht="15.75" customHeight="1">
      <c r="B996" s="142"/>
      <c r="J996" s="169"/>
    </row>
    <row r="997" ht="15.75" customHeight="1">
      <c r="B997" s="142"/>
      <c r="J997" s="169"/>
    </row>
    <row r="998" ht="15.75" customHeight="1">
      <c r="B998" s="142"/>
      <c r="J998" s="169"/>
    </row>
    <row r="999" ht="15.75" customHeight="1">
      <c r="B999" s="142"/>
      <c r="J999" s="169"/>
    </row>
    <row r="1000" ht="15.75" customHeight="1">
      <c r="B1000" s="142"/>
      <c r="J1000" s="169"/>
    </row>
    <row r="1001" ht="15.75" customHeight="1">
      <c r="B1001" s="142"/>
      <c r="J1001" s="169"/>
    </row>
    <row r="1002" ht="15.75" customHeight="1">
      <c r="B1002" s="142"/>
      <c r="J1002" s="169"/>
    </row>
    <row r="1003" ht="15.75" customHeight="1">
      <c r="B1003" s="142"/>
      <c r="J1003" s="169"/>
    </row>
    <row r="1004" ht="15.75" customHeight="1">
      <c r="B1004" s="142"/>
      <c r="J1004" s="169"/>
    </row>
    <row r="1005" ht="15.75" customHeight="1">
      <c r="B1005" s="142"/>
      <c r="J1005" s="169"/>
    </row>
    <row r="1006" ht="15.75" customHeight="1">
      <c r="B1006" s="142"/>
      <c r="J1006" s="169"/>
    </row>
    <row r="1007" ht="15.75" customHeight="1">
      <c r="B1007" s="142"/>
      <c r="J1007" s="169"/>
    </row>
    <row r="1008" ht="15.75" customHeight="1">
      <c r="B1008" s="142"/>
      <c r="J1008" s="169"/>
    </row>
    <row r="1009" ht="15.75" customHeight="1">
      <c r="B1009" s="142"/>
      <c r="J1009" s="169"/>
    </row>
    <row r="1010" ht="15.75" customHeight="1">
      <c r="B1010" s="142"/>
      <c r="J1010" s="169"/>
    </row>
    <row r="1011" ht="15.75" customHeight="1">
      <c r="J1011" s="169"/>
    </row>
    <row r="1012" ht="15.75" customHeight="1">
      <c r="J1012" s="169"/>
    </row>
    <row r="1013" ht="15.75" customHeight="1">
      <c r="J1013" s="169"/>
    </row>
    <row r="1014" ht="15.75" customHeight="1">
      <c r="J1014" s="169"/>
    </row>
    <row r="1015" ht="15.75" customHeight="1">
      <c r="J1015" s="169"/>
    </row>
    <row r="1016" ht="15.75" customHeight="1">
      <c r="J1016" s="169"/>
    </row>
    <row r="1017" ht="15.75" customHeight="1">
      <c r="J1017" s="169"/>
    </row>
    <row r="1018" ht="15.75" customHeight="1">
      <c r="J1018" s="169"/>
    </row>
    <row r="1019" ht="15.75" customHeight="1">
      <c r="J1019" s="169"/>
    </row>
    <row r="1020" ht="15.75" customHeight="1">
      <c r="J1020" s="169"/>
    </row>
    <row r="1021" ht="15.75" customHeight="1">
      <c r="J1021" s="169"/>
    </row>
    <row r="1022" ht="15.75" customHeight="1">
      <c r="J1022" s="169"/>
    </row>
    <row r="1023" ht="15.75" customHeight="1">
      <c r="J1023" s="169"/>
    </row>
    <row r="1024" ht="15.75" customHeight="1">
      <c r="J1024" s="169"/>
    </row>
  </sheetData>
  <mergeCells count="140">
    <mergeCell ref="D14:I14"/>
    <mergeCell ref="D15:I15"/>
    <mergeCell ref="J15:K15"/>
    <mergeCell ref="D16:I16"/>
    <mergeCell ref="A17:A20"/>
    <mergeCell ref="B17:B20"/>
    <mergeCell ref="D17:I17"/>
    <mergeCell ref="D20:I20"/>
    <mergeCell ref="J20:K20"/>
    <mergeCell ref="D21:I21"/>
    <mergeCell ref="J21:K21"/>
    <mergeCell ref="D22:I22"/>
    <mergeCell ref="A23:A24"/>
    <mergeCell ref="E23:I23"/>
    <mergeCell ref="D24:I24"/>
    <mergeCell ref="E25:I25"/>
    <mergeCell ref="D26:I26"/>
    <mergeCell ref="E27:I27"/>
    <mergeCell ref="D28:I28"/>
    <mergeCell ref="D29:I29"/>
    <mergeCell ref="D30:I30"/>
    <mergeCell ref="D38:I38"/>
    <mergeCell ref="D39:I39"/>
    <mergeCell ref="D40:I40"/>
    <mergeCell ref="D41:I41"/>
    <mergeCell ref="D31:I31"/>
    <mergeCell ref="D32:I32"/>
    <mergeCell ref="D33:I33"/>
    <mergeCell ref="D34:I34"/>
    <mergeCell ref="D35:I35"/>
    <mergeCell ref="D36:I36"/>
    <mergeCell ref="D37:I37"/>
    <mergeCell ref="J29:K29"/>
    <mergeCell ref="J30:K30"/>
    <mergeCell ref="J31:K31"/>
    <mergeCell ref="J32:K32"/>
    <mergeCell ref="J33:K33"/>
    <mergeCell ref="J34:K34"/>
    <mergeCell ref="J35:K35"/>
    <mergeCell ref="J36:K36"/>
    <mergeCell ref="J37:K37"/>
    <mergeCell ref="J38:K38"/>
    <mergeCell ref="J39:K39"/>
    <mergeCell ref="J40:K40"/>
    <mergeCell ref="K41:K42"/>
    <mergeCell ref="L41:L42"/>
    <mergeCell ref="I45:J45"/>
    <mergeCell ref="I46:J46"/>
    <mergeCell ref="K47:L47"/>
    <mergeCell ref="J41:J42"/>
    <mergeCell ref="D42:I42"/>
    <mergeCell ref="B43:K43"/>
    <mergeCell ref="B44:G44"/>
    <mergeCell ref="I44:J44"/>
    <mergeCell ref="B45:G45"/>
    <mergeCell ref="B46:G46"/>
    <mergeCell ref="B61:D61"/>
    <mergeCell ref="B75:L75"/>
    <mergeCell ref="B79:L79"/>
    <mergeCell ref="B80:L80"/>
    <mergeCell ref="B84:L84"/>
    <mergeCell ref="B85:K85"/>
    <mergeCell ref="B100:K100"/>
    <mergeCell ref="B101:D101"/>
    <mergeCell ref="F101:G101"/>
    <mergeCell ref="H101:I101"/>
    <mergeCell ref="J101:K101"/>
    <mergeCell ref="B102:D102"/>
    <mergeCell ref="H102:I102"/>
    <mergeCell ref="H103:I103"/>
    <mergeCell ref="F102:G102"/>
    <mergeCell ref="F103:G103"/>
    <mergeCell ref="F104:G104"/>
    <mergeCell ref="H104:I104"/>
    <mergeCell ref="J104:K104"/>
    <mergeCell ref="F105:G105"/>
    <mergeCell ref="H105:I105"/>
    <mergeCell ref="F109:G109"/>
    <mergeCell ref="H109:I109"/>
    <mergeCell ref="F113:H113"/>
    <mergeCell ref="J113:K113"/>
    <mergeCell ref="F114:K114"/>
    <mergeCell ref="F115:K115"/>
    <mergeCell ref="F106:G106"/>
    <mergeCell ref="H106:I106"/>
    <mergeCell ref="F107:G107"/>
    <mergeCell ref="H107:I107"/>
    <mergeCell ref="F108:G108"/>
    <mergeCell ref="H108:I108"/>
    <mergeCell ref="J108:K108"/>
    <mergeCell ref="B113:D113"/>
    <mergeCell ref="B114:D114"/>
    <mergeCell ref="B115:D115"/>
    <mergeCell ref="B103:D103"/>
    <mergeCell ref="B104:D104"/>
    <mergeCell ref="B105:D105"/>
    <mergeCell ref="B106:D106"/>
    <mergeCell ref="B107:D107"/>
    <mergeCell ref="B108:D108"/>
    <mergeCell ref="B109:D109"/>
    <mergeCell ref="A1:L1"/>
    <mergeCell ref="A2:L2"/>
    <mergeCell ref="A3:L3"/>
    <mergeCell ref="A4:L4"/>
    <mergeCell ref="A7:L7"/>
    <mergeCell ref="A8:L9"/>
    <mergeCell ref="A10:L10"/>
    <mergeCell ref="A11:L11"/>
    <mergeCell ref="A12:C12"/>
    <mergeCell ref="D12:I12"/>
    <mergeCell ref="J12:K12"/>
    <mergeCell ref="D13:I13"/>
    <mergeCell ref="J13:K13"/>
    <mergeCell ref="J14:K14"/>
    <mergeCell ref="D18:I18"/>
    <mergeCell ref="J18:K18"/>
    <mergeCell ref="D19:I19"/>
    <mergeCell ref="J19:K19"/>
    <mergeCell ref="B23:B24"/>
    <mergeCell ref="C23:C24"/>
    <mergeCell ref="A25:A26"/>
    <mergeCell ref="B25:B26"/>
    <mergeCell ref="C25:C26"/>
    <mergeCell ref="A27:A28"/>
    <mergeCell ref="B27:B28"/>
    <mergeCell ref="C27:C28"/>
    <mergeCell ref="J22:K22"/>
    <mergeCell ref="J23:K24"/>
    <mergeCell ref="L23:L24"/>
    <mergeCell ref="J25:K26"/>
    <mergeCell ref="L25:L26"/>
    <mergeCell ref="J27:K28"/>
    <mergeCell ref="L27:L28"/>
    <mergeCell ref="A48:L48"/>
    <mergeCell ref="C50:D50"/>
    <mergeCell ref="F50:G50"/>
    <mergeCell ref="C51:D51"/>
    <mergeCell ref="F51:G51"/>
    <mergeCell ref="C52:D52"/>
    <mergeCell ref="F52:G52"/>
  </mergeCells>
  <hyperlinks>
    <hyperlink r:id="rId1" ref="A48"/>
    <hyperlink r:id="rId2" ref="J101"/>
    <hyperlink r:id="rId3" ref="J103"/>
    <hyperlink r:id="rId4" ref="J106"/>
    <hyperlink r:id="rId5" ref="J108"/>
    <hyperlink r:id="rId6" ref="J109"/>
  </hyperlinks>
  <printOptions horizontalCentered="1"/>
  <pageMargins bottom="0.19685039370078738" footer="0.0" header="0.0" left="0.39370078740157477" right="0.39370078740157477" top="0.19685039370078738"/>
  <pageSetup fitToHeight="0" paperSize="9"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5" max="5" width="32.33"/>
    <col customWidth="1" min="6" max="6" width="47.44"/>
    <col customWidth="1" min="7" max="7" width="17.67"/>
    <col customWidth="1" min="9" max="9" width="12.22"/>
  </cols>
  <sheetData>
    <row r="1">
      <c r="A1" s="236" t="s">
        <v>125</v>
      </c>
      <c r="B1" s="236" t="s">
        <v>126</v>
      </c>
      <c r="C1" s="236" t="s">
        <v>127</v>
      </c>
      <c r="D1" s="236" t="s">
        <v>128</v>
      </c>
      <c r="E1" s="236" t="s">
        <v>129</v>
      </c>
      <c r="F1" s="236" t="s">
        <v>130</v>
      </c>
      <c r="G1" s="236" t="s">
        <v>131</v>
      </c>
      <c r="I1" s="236" t="s">
        <v>132</v>
      </c>
    </row>
    <row r="2">
      <c r="A2" s="175" t="s">
        <v>133</v>
      </c>
      <c r="B2" s="237">
        <v>0.004861111111111111</v>
      </c>
      <c r="C2" s="237">
        <v>6.944444444444445E-4</v>
      </c>
      <c r="D2" s="238" t="str">
        <f>VLOOKUP(B2,$A$17:$B$24,2)</f>
        <v>5-7m</v>
      </c>
      <c r="E2" s="175" t="s">
        <v>134</v>
      </c>
      <c r="F2" s="239" t="s">
        <v>135</v>
      </c>
      <c r="G2" s="240" t="s">
        <v>136</v>
      </c>
      <c r="H2" s="241" t="s">
        <v>137</v>
      </c>
      <c r="I2" s="241" t="s">
        <v>138</v>
      </c>
    </row>
    <row r="3">
      <c r="A3" s="175" t="s">
        <v>139</v>
      </c>
      <c r="B3" s="237">
        <v>0.004166666666666667</v>
      </c>
      <c r="C3" s="237">
        <v>6.944444444444445E-4</v>
      </c>
      <c r="D3" s="238" t="str">
        <f t="shared" ref="D3:D5" si="1">VLOOKUP(B3,$A$18:$B$24,2)</f>
        <v>4-6m</v>
      </c>
      <c r="E3" s="175" t="s">
        <v>140</v>
      </c>
      <c r="F3" s="239" t="s">
        <v>141</v>
      </c>
      <c r="G3" s="241" t="s">
        <v>142</v>
      </c>
      <c r="H3" s="241" t="s">
        <v>143</v>
      </c>
      <c r="I3" s="241" t="s">
        <v>144</v>
      </c>
    </row>
    <row r="4">
      <c r="A4" s="175" t="s">
        <v>145</v>
      </c>
      <c r="B4" s="237">
        <v>0.004861111111111111</v>
      </c>
      <c r="C4" s="237">
        <v>6.944444444444445E-4</v>
      </c>
      <c r="D4" s="238" t="str">
        <f t="shared" si="1"/>
        <v>5-7m</v>
      </c>
      <c r="I4" s="238" t="str">
        <f>IF(ISNA(VLOOKUP(G4,Purpose!$A$2:$B$128,2, false)), "", VLOOKUP(G4,Purpose!$A$2:$B$128,2, false))</f>
        <v/>
      </c>
    </row>
    <row r="5">
      <c r="A5" s="175" t="s">
        <v>146</v>
      </c>
      <c r="B5" s="237">
        <v>0.004861111111111111</v>
      </c>
      <c r="C5" s="237">
        <v>6.944444444444445E-4</v>
      </c>
      <c r="D5" s="238" t="str">
        <f t="shared" si="1"/>
        <v>5-7m</v>
      </c>
      <c r="I5" s="238" t="str">
        <f>IF(ISNA(VLOOKUP(G5,Purpose!$A$2:$B$128,2, false)), "", VLOOKUP(G5,Purpose!$A$2:$B$128,2, false))</f>
        <v/>
      </c>
    </row>
    <row r="6">
      <c r="A6" s="175" t="s">
        <v>147</v>
      </c>
      <c r="B6" s="237">
        <v>0.0020833333333333333</v>
      </c>
      <c r="C6" s="237">
        <v>6.944444444444445E-4</v>
      </c>
      <c r="D6" s="238" t="str">
        <f t="shared" ref="D6:D10" si="2">VLOOKUP(B6,$C$18:$D$24,2)</f>
        <v>2-3m</v>
      </c>
      <c r="I6" s="238" t="str">
        <f>IF(ISNA(VLOOKUP(G6,Purpose!$A$2:$B$128,2, false)), "", VLOOKUP(G6,Purpose!$A$2:$B$128,2, false))</f>
        <v/>
      </c>
    </row>
    <row r="7">
      <c r="A7" s="175" t="s">
        <v>148</v>
      </c>
      <c r="B7" s="237">
        <v>0.0020833333333333333</v>
      </c>
      <c r="C7" s="237">
        <v>6.944444444444445E-4</v>
      </c>
      <c r="D7" s="238" t="str">
        <f t="shared" si="2"/>
        <v>2-3m</v>
      </c>
      <c r="I7" s="238" t="str">
        <f>IF(ISNA(VLOOKUP(G6,Purpose!$A$2:$B$128,2, false)), "", VLOOKUP(G6,Purpose!$A$2:$B$128,2, false))</f>
        <v/>
      </c>
    </row>
    <row r="8">
      <c r="A8" s="175" t="s">
        <v>149</v>
      </c>
      <c r="B8" s="237">
        <v>0.0020833333333333333</v>
      </c>
      <c r="C8" s="237">
        <v>6.944444444444445E-4</v>
      </c>
      <c r="D8" s="238" t="str">
        <f t="shared" si="2"/>
        <v>2-3m</v>
      </c>
      <c r="I8" s="238" t="str">
        <f>IF(ISNA(VLOOKUP(G7,Purpose!$A$2:$B$128,2, false)), "", VLOOKUP(G7,Purpose!$A$2:$B$128,2, false))</f>
        <v/>
      </c>
    </row>
    <row r="9">
      <c r="A9" s="175" t="s">
        <v>150</v>
      </c>
      <c r="B9" s="237">
        <v>0.0020833333333333333</v>
      </c>
      <c r="C9" s="237">
        <v>6.944444444444445E-4</v>
      </c>
      <c r="D9" s="238" t="str">
        <f t="shared" si="2"/>
        <v>2-3m</v>
      </c>
      <c r="I9" s="238" t="str">
        <f>IF(ISNA(VLOOKUP(G8,Purpose!$A$2:$B$128,2, false)), "", VLOOKUP(G8,Purpose!$A$2:$B$128,2, false))</f>
        <v/>
      </c>
    </row>
    <row r="10">
      <c r="A10" s="175" t="s">
        <v>151</v>
      </c>
      <c r="B10" s="237">
        <v>0.0020833333333333333</v>
      </c>
      <c r="C10" s="237">
        <v>6.944444444444445E-4</v>
      </c>
      <c r="D10" s="238" t="str">
        <f t="shared" si="2"/>
        <v>2-3m</v>
      </c>
    </row>
    <row r="11">
      <c r="A11" s="175" t="s">
        <v>43</v>
      </c>
      <c r="B11" s="237">
        <v>0.004166666666666667</v>
      </c>
      <c r="C11" s="237">
        <v>6.944444444444445E-4</v>
      </c>
      <c r="D11" s="238" t="str">
        <f t="shared" ref="D11:D12" si="3">VLOOKUP(B11,$A$18:$B$24,2)</f>
        <v>4-6m</v>
      </c>
      <c r="I11" s="238" t="str">
        <f>IF(ISNA(VLOOKUP(G9,Purpose!$A$2:$B$128,2, false)), "", VLOOKUP(G9,Purpose!$A$2:$B$128,2, false))</f>
        <v/>
      </c>
    </row>
    <row r="12">
      <c r="A12" s="175" t="s">
        <v>39</v>
      </c>
      <c r="B12" s="237">
        <v>0.004166666666666667</v>
      </c>
      <c r="C12" s="237">
        <v>6.944444444444445E-4</v>
      </c>
      <c r="D12" s="238" t="str">
        <f t="shared" si="3"/>
        <v>4-6m</v>
      </c>
      <c r="I12" s="238" t="str">
        <f>IF(ISNA(VLOOKUP(G11,Purpose!$A$2:$B$128,2, false)), "", VLOOKUP(G11,Purpose!$A$2:$B$128,2, false))</f>
        <v/>
      </c>
    </row>
    <row r="16">
      <c r="A16" s="236" t="s">
        <v>152</v>
      </c>
      <c r="B16" s="236" t="s">
        <v>128</v>
      </c>
      <c r="C16" s="236" t="s">
        <v>153</v>
      </c>
      <c r="D16" s="236" t="s">
        <v>128</v>
      </c>
      <c r="E16" s="236" t="s">
        <v>154</v>
      </c>
      <c r="F16" s="236" t="s">
        <v>155</v>
      </c>
    </row>
    <row r="17">
      <c r="A17" s="237">
        <v>0.003472222222222222</v>
      </c>
      <c r="B17" s="175" t="s">
        <v>156</v>
      </c>
      <c r="C17" s="242"/>
      <c r="D17" s="175"/>
      <c r="E17" s="175"/>
      <c r="F17" s="243"/>
    </row>
    <row r="18">
      <c r="A18" s="237">
        <v>0.004166666666666667</v>
      </c>
      <c r="B18" s="175" t="s">
        <v>157</v>
      </c>
      <c r="C18" s="242">
        <v>0.0020833333333333333</v>
      </c>
      <c r="D18" s="175" t="s">
        <v>158</v>
      </c>
      <c r="E18" s="239" t="s">
        <v>159</v>
      </c>
      <c r="F18" s="244" t="s">
        <v>160</v>
      </c>
    </row>
    <row r="19">
      <c r="A19" s="237">
        <v>0.004861111111111111</v>
      </c>
      <c r="B19" s="175" t="s">
        <v>161</v>
      </c>
    </row>
    <row r="20">
      <c r="A20" s="237">
        <v>0.005555555555555556</v>
      </c>
      <c r="B20" s="175" t="s">
        <v>162</v>
      </c>
    </row>
    <row r="21">
      <c r="A21" s="237">
        <v>0.00625</v>
      </c>
      <c r="B21" s="175" t="s">
        <v>163</v>
      </c>
    </row>
    <row r="22">
      <c r="A22" s="237">
        <v>0.006944444444444444</v>
      </c>
      <c r="B22" s="175" t="s">
        <v>164</v>
      </c>
    </row>
    <row r="23">
      <c r="A23" s="237">
        <v>0.007638888888888889</v>
      </c>
      <c r="B23" s="175" t="s">
        <v>165</v>
      </c>
    </row>
    <row r="24">
      <c r="A24" s="237">
        <v>0.008333333333333333</v>
      </c>
      <c r="B24" s="175" t="s">
        <v>166</v>
      </c>
    </row>
    <row r="25">
      <c r="A25" s="237">
        <v>0.013194444444444444</v>
      </c>
      <c r="B25" s="175" t="s">
        <v>167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1.22"/>
    <col customWidth="1" min="2" max="2" width="22.0"/>
    <col customWidth="1" min="3" max="3" width="12.89"/>
    <col customWidth="1" min="4" max="4" width="23.0"/>
  </cols>
  <sheetData>
    <row r="1">
      <c r="A1" s="245" t="s">
        <v>168</v>
      </c>
      <c r="B1" s="245" t="s">
        <v>169</v>
      </c>
      <c r="C1" s="245" t="s">
        <v>131</v>
      </c>
      <c r="D1" s="245" t="s">
        <v>170</v>
      </c>
    </row>
    <row r="2">
      <c r="A2" s="175" t="s">
        <v>19</v>
      </c>
      <c r="B2" s="246" t="s">
        <v>17</v>
      </c>
      <c r="C2" s="238" t="str">
        <f>IF(ISNA(VLOOKUP(B2,Pathways!$A$2:$B$46,2, false)), "", VLOOKUP(B2,Pathways!$A$2:$B$46,2, false))</f>
        <v>IP3</v>
      </c>
      <c r="D2" s="247" t="str">
        <f t="shared" ref="D2:D20" si="1">IF(C2="",B2, CONCATENATE(B2,", " &amp; C2))</f>
        <v>Dennis Chen, IP3</v>
      </c>
    </row>
    <row r="3">
      <c r="A3" s="175" t="s">
        <v>22</v>
      </c>
      <c r="B3" s="246" t="s">
        <v>17</v>
      </c>
      <c r="C3" s="238" t="str">
        <f>IF(ISNA(VLOOKUP(B3,Pathways!$A$2:$B$46,2, false)), "", VLOOKUP(B3,Pathways!$A$2:$B$46,2, false))</f>
        <v>IP3</v>
      </c>
      <c r="D3" s="247" t="str">
        <f t="shared" si="1"/>
        <v>Dennis Chen, IP3</v>
      </c>
    </row>
    <row r="4">
      <c r="A4" s="175" t="s">
        <v>24</v>
      </c>
      <c r="B4" s="248" t="s">
        <v>102</v>
      </c>
      <c r="C4" s="238" t="str">
        <f>IF(ISNA(VLOOKUP(B4,Pathways!$A$2:$B$46,2, false)), "", VLOOKUP(B4,Pathways!$A$2:$B$46,2, false))</f>
        <v>DTM</v>
      </c>
      <c r="D4" s="247" t="str">
        <f t="shared" si="1"/>
        <v>Regina Cheng, DTM</v>
      </c>
    </row>
    <row r="5">
      <c r="A5" s="175" t="s">
        <v>26</v>
      </c>
      <c r="B5" s="248" t="s">
        <v>171</v>
      </c>
      <c r="C5" s="238" t="str">
        <f>IF(ISNA(VLOOKUP(B5,Pathways!$A$2:$B$46,2, false)), "", VLOOKUP(B5,Pathways!$A$2:$B$46,2, false))</f>
        <v/>
      </c>
      <c r="D5" s="247" t="str">
        <f t="shared" si="1"/>
        <v>Michael James</v>
      </c>
    </row>
    <row r="6">
      <c r="A6" s="175" t="s">
        <v>28</v>
      </c>
      <c r="B6" s="248" t="s">
        <v>102</v>
      </c>
      <c r="C6" s="238" t="str">
        <f>IF(ISNA(VLOOKUP(B6,Pathways!$A$2:$B$46,2, false)), "", VLOOKUP(B6,Pathways!$A$2:$B$46,2, false))</f>
        <v>DTM</v>
      </c>
      <c r="D6" s="247" t="str">
        <f t="shared" si="1"/>
        <v>Regina Cheng, DTM</v>
      </c>
    </row>
    <row r="7">
      <c r="A7" s="175" t="s">
        <v>172</v>
      </c>
      <c r="B7" s="248" t="s">
        <v>98</v>
      </c>
      <c r="C7" s="238" t="str">
        <f>IF(ISNA(VLOOKUP(B7,Pathways!$A$2:$B$46,2, false)), "", VLOOKUP(B7,Pathways!$A$2:$B$46,2, false))</f>
        <v/>
      </c>
      <c r="D7" s="247" t="str">
        <f t="shared" si="1"/>
        <v>Maxim Niederau</v>
      </c>
    </row>
    <row r="8">
      <c r="A8" s="175" t="s">
        <v>173</v>
      </c>
      <c r="B8" s="248" t="s">
        <v>174</v>
      </c>
      <c r="C8" s="238" t="str">
        <f>IF(ISNA(VLOOKUP(B8,Pathways!$A$2:$B$46,2, false)), "", VLOOKUP(B8,Pathways!$A$2:$B$46,2, false))</f>
        <v/>
      </c>
      <c r="D8" s="247" t="str">
        <f t="shared" si="1"/>
        <v>Javier Bernabeu, MS4</v>
      </c>
    </row>
    <row r="9">
      <c r="A9" s="175" t="s">
        <v>175</v>
      </c>
      <c r="B9" s="248" t="s">
        <v>176</v>
      </c>
      <c r="C9" s="238" t="str">
        <f>IF(ISNA(VLOOKUP(B9,Pathways!$A$2:$B$46,2, false)), "", VLOOKUP(B9,Pathways!$A$2:$B$46,2, false))</f>
        <v/>
      </c>
      <c r="D9" s="247" t="str">
        <f t="shared" si="1"/>
        <v>Tanya Chen(Sandwich)</v>
      </c>
    </row>
    <row r="10">
      <c r="A10" s="175" t="s">
        <v>177</v>
      </c>
      <c r="C10" s="238" t="str">
        <f>IF(ISNA(VLOOKUP(B10,Pathways!$A$2:$B$46,2, false)), "", VLOOKUP(B10,Pathways!$A$2:$B$46,2, false))</f>
        <v/>
      </c>
      <c r="D10" s="247" t="str">
        <f t="shared" si="1"/>
        <v/>
      </c>
    </row>
    <row r="11">
      <c r="A11" s="175" t="s">
        <v>178</v>
      </c>
      <c r="C11" s="238" t="str">
        <f>IF(ISNA(VLOOKUP(B11,Pathways!$A$2:$B$46,2, false)), "", VLOOKUP(B11,Pathways!$A$2:$B$46,2, false))</f>
        <v/>
      </c>
      <c r="D11" s="247" t="str">
        <f t="shared" si="1"/>
        <v/>
      </c>
    </row>
    <row r="12">
      <c r="A12" s="175" t="s">
        <v>36</v>
      </c>
      <c r="B12" s="248" t="s">
        <v>86</v>
      </c>
      <c r="C12" s="238" t="str">
        <f>IF(ISNA(VLOOKUP(B12,Pathways!$A$2:$B$46,2, false)), "", VLOOKUP(B12,Pathways!$A$2:$B$46,2, false))</f>
        <v>EH1</v>
      </c>
      <c r="D12" s="247" t="str">
        <f t="shared" si="1"/>
        <v>Eloise Hsu, EH1</v>
      </c>
    </row>
    <row r="13">
      <c r="A13" s="175" t="s">
        <v>179</v>
      </c>
      <c r="B13" s="248" t="s">
        <v>180</v>
      </c>
      <c r="C13" s="238" t="str">
        <f>IF(ISNA(VLOOKUP(B13,Pathways!$A$2:$B$46,2, false)), "", VLOOKUP(B13,Pathways!$A$2:$B$46,2, false))</f>
        <v>PM2</v>
      </c>
      <c r="D13" s="247" t="str">
        <f t="shared" si="1"/>
        <v>Tappy Hsieh, PM2</v>
      </c>
    </row>
    <row r="14">
      <c r="A14" s="175" t="s">
        <v>39</v>
      </c>
      <c r="B14" s="249" t="s">
        <v>114</v>
      </c>
      <c r="C14" s="175" t="s">
        <v>181</v>
      </c>
      <c r="D14" s="247" t="str">
        <f t="shared" si="1"/>
        <v>Alex Huang, PM3</v>
      </c>
      <c r="E14" s="250"/>
    </row>
    <row r="15">
      <c r="A15" s="175" t="s">
        <v>147</v>
      </c>
      <c r="B15" s="248" t="s">
        <v>182</v>
      </c>
      <c r="C15" s="238" t="str">
        <f>IF(ISNA(VLOOKUP(B15,Pathways!$A$2:$B$46,2, false)), "", VLOOKUP(B15,Pathways!$A$2:$B$46,2, false))</f>
        <v>PM3</v>
      </c>
      <c r="D15" s="247" t="str">
        <f t="shared" si="1"/>
        <v>Carol Chang, PM3</v>
      </c>
    </row>
    <row r="16">
      <c r="A16" s="175" t="s">
        <v>148</v>
      </c>
      <c r="B16" s="175" t="s">
        <v>183</v>
      </c>
      <c r="C16" s="238" t="str">
        <f>IF(ISNA(VLOOKUP(B16,Pathways!$A$2:$B$46,2, false)), "", VLOOKUP(B16,Pathways!$A$2:$B$46,2, false))</f>
        <v>LD4</v>
      </c>
      <c r="D16" s="247" t="str">
        <f t="shared" si="1"/>
        <v>Pearl Huang, LD4</v>
      </c>
    </row>
    <row r="17">
      <c r="A17" s="175" t="s">
        <v>149</v>
      </c>
      <c r="C17" s="238" t="str">
        <f>IF(ISNA(VLOOKUP(B17,Pathways!$A$2:$B$46,2, false)), "", VLOOKUP(B17,Pathways!$A$2:$B$46,2, false))</f>
        <v/>
      </c>
      <c r="D17" s="247" t="str">
        <f t="shared" si="1"/>
        <v/>
      </c>
    </row>
    <row r="18">
      <c r="A18" s="175" t="s">
        <v>150</v>
      </c>
      <c r="C18" s="238" t="str">
        <f>IF(ISNA(VLOOKUP(B18,Pathways!$A$2:$B$46,2, false)), "", VLOOKUP(B18,Pathways!$A$2:$B$46,2, false))</f>
        <v/>
      </c>
      <c r="D18" s="247" t="str">
        <f t="shared" si="1"/>
        <v/>
      </c>
    </row>
    <row r="19">
      <c r="A19" s="175" t="s">
        <v>151</v>
      </c>
      <c r="C19" s="238" t="str">
        <f>IF(ISNA(VLOOKUP(B19,Pathways!$A$2:$B$46,2, false)), "", VLOOKUP(B19,Pathways!$A$2:$B$46,2, false))</f>
        <v/>
      </c>
      <c r="D19" s="247" t="str">
        <f t="shared" si="1"/>
        <v/>
      </c>
    </row>
    <row r="20">
      <c r="A20" s="175" t="s">
        <v>43</v>
      </c>
      <c r="B20" s="248" t="s">
        <v>86</v>
      </c>
      <c r="C20" s="238" t="str">
        <f>IF(ISNA(VLOOKUP(B20,Pathways!$A$2:$B$46,2, false)), "", VLOOKUP(B20,Pathways!$A$2:$B$46,2, false))</f>
        <v>EH1</v>
      </c>
      <c r="D20" s="247" t="str">
        <f t="shared" si="1"/>
        <v>Eloise Hsu, EH1</v>
      </c>
    </row>
    <row r="23">
      <c r="A23" s="175" t="s">
        <v>184</v>
      </c>
      <c r="B23" s="251" t="s">
        <v>185</v>
      </c>
    </row>
    <row r="24">
      <c r="B24" s="175"/>
    </row>
    <row r="25">
      <c r="B25" s="251" t="s">
        <v>186</v>
      </c>
    </row>
    <row r="26">
      <c r="B26" s="175" t="s">
        <v>94</v>
      </c>
      <c r="C26" s="175" t="s">
        <v>187</v>
      </c>
    </row>
    <row r="27">
      <c r="B27" s="175" t="s">
        <v>188</v>
      </c>
    </row>
    <row r="28">
      <c r="B28" s="175" t="s">
        <v>189</v>
      </c>
    </row>
    <row r="29">
      <c r="B29" s="175" t="s">
        <v>90</v>
      </c>
    </row>
    <row r="30">
      <c r="B30" s="175" t="s">
        <v>114</v>
      </c>
    </row>
    <row r="31">
      <c r="B31" s="175" t="s">
        <v>190</v>
      </c>
    </row>
    <row r="32">
      <c r="B32" s="175" t="s">
        <v>180</v>
      </c>
    </row>
    <row r="33">
      <c r="B33" s="175" t="s">
        <v>86</v>
      </c>
    </row>
    <row r="34">
      <c r="B34" s="175" t="s">
        <v>17</v>
      </c>
    </row>
    <row r="35">
      <c r="B35" s="175" t="s">
        <v>183</v>
      </c>
    </row>
    <row r="36">
      <c r="B36" s="175" t="s">
        <v>191</v>
      </c>
    </row>
    <row r="37">
      <c r="B37" s="175" t="s">
        <v>90</v>
      </c>
    </row>
    <row r="38">
      <c r="B38" s="175" t="s">
        <v>190</v>
      </c>
    </row>
    <row r="39">
      <c r="B39" s="175" t="s">
        <v>192</v>
      </c>
    </row>
    <row r="40">
      <c r="B40" s="175" t="s">
        <v>98</v>
      </c>
    </row>
    <row r="41">
      <c r="B41" s="175" t="s">
        <v>193</v>
      </c>
    </row>
    <row r="42">
      <c r="B42" s="175" t="s">
        <v>194</v>
      </c>
    </row>
    <row r="43">
      <c r="B43" s="175" t="s">
        <v>102</v>
      </c>
    </row>
    <row r="44">
      <c r="B44" s="175" t="s">
        <v>94</v>
      </c>
    </row>
    <row r="45">
      <c r="B45" s="175" t="s">
        <v>106</v>
      </c>
    </row>
    <row r="46">
      <c r="B46" s="175" t="s">
        <v>195</v>
      </c>
    </row>
    <row r="47">
      <c r="B47" s="175" t="s">
        <v>171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0.89"/>
    <col customWidth="1" min="2" max="2" width="11.44"/>
    <col customWidth="1" min="3" max="3" width="10.67"/>
    <col customWidth="1" min="4" max="4" width="39.0"/>
    <col customWidth="1" min="5" max="5" width="52.22"/>
  </cols>
  <sheetData>
    <row r="1" ht="20.25" customHeight="1">
      <c r="A1" s="252" t="s">
        <v>196</v>
      </c>
      <c r="B1" s="252" t="s">
        <v>197</v>
      </c>
      <c r="C1" s="252" t="s">
        <v>198</v>
      </c>
      <c r="D1" s="252" t="s">
        <v>129</v>
      </c>
      <c r="E1" s="253" t="s">
        <v>199</v>
      </c>
    </row>
    <row r="2" ht="18.0" customHeight="1">
      <c r="A2" s="254" t="s">
        <v>200</v>
      </c>
      <c r="B2" s="255" t="s">
        <v>201</v>
      </c>
      <c r="C2" s="256" t="s">
        <v>143</v>
      </c>
      <c r="D2" s="256" t="s">
        <v>140</v>
      </c>
      <c r="E2" s="257" t="s">
        <v>202</v>
      </c>
    </row>
    <row r="3" ht="18.0" customHeight="1">
      <c r="A3" s="258"/>
      <c r="C3" s="175" t="s">
        <v>203</v>
      </c>
      <c r="D3" s="175" t="s">
        <v>204</v>
      </c>
      <c r="E3" s="259" t="s">
        <v>205</v>
      </c>
    </row>
    <row r="4" ht="18.0" customHeight="1">
      <c r="A4" s="258"/>
      <c r="C4" s="175" t="s">
        <v>206</v>
      </c>
      <c r="D4" s="175" t="s">
        <v>207</v>
      </c>
      <c r="E4" s="259" t="s">
        <v>208</v>
      </c>
    </row>
    <row r="5" ht="18.0" customHeight="1">
      <c r="A5" s="258"/>
      <c r="C5" s="175" t="s">
        <v>209</v>
      </c>
      <c r="D5" s="175" t="s">
        <v>210</v>
      </c>
      <c r="E5" s="259" t="s">
        <v>211</v>
      </c>
    </row>
    <row r="6" ht="18.0" customHeight="1">
      <c r="A6" s="258"/>
      <c r="C6" s="175" t="s">
        <v>212</v>
      </c>
      <c r="D6" s="175" t="s">
        <v>213</v>
      </c>
      <c r="E6" s="259" t="s">
        <v>77</v>
      </c>
    </row>
    <row r="7" ht="18.0" customHeight="1">
      <c r="A7" s="258"/>
      <c r="C7" s="175" t="s">
        <v>214</v>
      </c>
      <c r="D7" s="175" t="s">
        <v>215</v>
      </c>
      <c r="E7" s="259" t="s">
        <v>216</v>
      </c>
    </row>
    <row r="8" ht="18.0" customHeight="1">
      <c r="A8" s="258"/>
      <c r="C8" s="175" t="s">
        <v>217</v>
      </c>
      <c r="D8" s="175" t="s">
        <v>218</v>
      </c>
      <c r="E8" s="259" t="s">
        <v>219</v>
      </c>
    </row>
    <row r="9" ht="18.0" customHeight="1">
      <c r="A9" s="258"/>
      <c r="C9" s="175" t="s">
        <v>220</v>
      </c>
      <c r="D9" s="175" t="s">
        <v>221</v>
      </c>
      <c r="E9" s="259" t="s">
        <v>222</v>
      </c>
    </row>
    <row r="10" ht="18.0" customHeight="1">
      <c r="A10" s="258"/>
      <c r="C10" s="175" t="s">
        <v>223</v>
      </c>
      <c r="D10" s="175" t="s">
        <v>224</v>
      </c>
      <c r="E10" s="259" t="s">
        <v>225</v>
      </c>
    </row>
    <row r="11" ht="18.0" customHeight="1">
      <c r="A11" s="258"/>
      <c r="C11" s="175" t="s">
        <v>226</v>
      </c>
      <c r="D11" s="175" t="s">
        <v>227</v>
      </c>
      <c r="E11" s="259" t="s">
        <v>228</v>
      </c>
    </row>
    <row r="12" ht="18.0" customHeight="1">
      <c r="A12" s="260"/>
      <c r="B12" s="117"/>
      <c r="C12" s="261" t="s">
        <v>137</v>
      </c>
      <c r="D12" s="261" t="s">
        <v>229</v>
      </c>
      <c r="E12" s="262" t="s">
        <v>230</v>
      </c>
    </row>
    <row r="13" ht="18.0" customHeight="1">
      <c r="A13" s="254" t="s">
        <v>231</v>
      </c>
      <c r="B13" s="256" t="s">
        <v>232</v>
      </c>
      <c r="C13" s="256" t="s">
        <v>143</v>
      </c>
      <c r="D13" s="256" t="s">
        <v>140</v>
      </c>
      <c r="E13" s="257" t="s">
        <v>202</v>
      </c>
    </row>
    <row r="14" ht="18.0" customHeight="1">
      <c r="A14" s="258"/>
      <c r="C14" s="175" t="s">
        <v>203</v>
      </c>
      <c r="D14" s="175" t="s">
        <v>204</v>
      </c>
      <c r="E14" s="259" t="s">
        <v>205</v>
      </c>
    </row>
    <row r="15" ht="18.0" customHeight="1">
      <c r="A15" s="258"/>
      <c r="C15" s="175" t="s">
        <v>206</v>
      </c>
      <c r="D15" s="175" t="s">
        <v>207</v>
      </c>
      <c r="E15" s="259" t="s">
        <v>208</v>
      </c>
    </row>
    <row r="16" ht="18.0" customHeight="1">
      <c r="A16" s="258"/>
      <c r="C16" s="175" t="s">
        <v>209</v>
      </c>
      <c r="D16" s="175" t="s">
        <v>210</v>
      </c>
      <c r="E16" s="259" t="s">
        <v>211</v>
      </c>
      <c r="F16" s="175"/>
      <c r="G16" s="175"/>
      <c r="H16" s="175"/>
      <c r="I16" s="175"/>
      <c r="J16" s="175"/>
      <c r="K16" s="175"/>
      <c r="L16" s="175"/>
      <c r="M16" s="175"/>
      <c r="N16" s="175"/>
      <c r="O16" s="175"/>
      <c r="P16" s="175"/>
      <c r="Q16" s="175"/>
      <c r="R16" s="175"/>
      <c r="S16" s="175"/>
      <c r="T16" s="175"/>
      <c r="U16" s="175"/>
      <c r="V16" s="175"/>
      <c r="W16" s="175"/>
      <c r="X16" s="175"/>
      <c r="Y16" s="175"/>
      <c r="Z16" s="175"/>
      <c r="AA16" s="175"/>
    </row>
    <row r="17" ht="18.0" customHeight="1">
      <c r="A17" s="258"/>
      <c r="C17" s="175" t="s">
        <v>212</v>
      </c>
      <c r="D17" s="175" t="s">
        <v>213</v>
      </c>
      <c r="E17" s="259" t="s">
        <v>233</v>
      </c>
      <c r="F17" s="175"/>
      <c r="G17" s="175"/>
      <c r="H17" s="175"/>
      <c r="I17" s="175"/>
      <c r="J17" s="175"/>
      <c r="K17" s="175"/>
      <c r="L17" s="175"/>
      <c r="M17" s="175"/>
      <c r="N17" s="175"/>
      <c r="O17" s="175"/>
      <c r="P17" s="175"/>
      <c r="Q17" s="175"/>
      <c r="R17" s="175"/>
      <c r="S17" s="175"/>
      <c r="T17" s="175"/>
      <c r="U17" s="175"/>
      <c r="V17" s="175"/>
      <c r="W17" s="175"/>
      <c r="X17" s="175"/>
      <c r="Y17" s="175"/>
      <c r="Z17" s="175"/>
      <c r="AA17" s="175"/>
    </row>
    <row r="18" ht="18.0" customHeight="1">
      <c r="A18" s="258"/>
      <c r="C18" s="175" t="s">
        <v>214</v>
      </c>
      <c r="D18" s="175" t="s">
        <v>215</v>
      </c>
      <c r="E18" s="259" t="s">
        <v>216</v>
      </c>
      <c r="F18" s="175"/>
      <c r="G18" s="175"/>
      <c r="H18" s="175"/>
      <c r="I18" s="175"/>
      <c r="J18" s="175"/>
      <c r="K18" s="175"/>
      <c r="L18" s="175"/>
      <c r="M18" s="175"/>
      <c r="N18" s="175"/>
      <c r="O18" s="175"/>
      <c r="P18" s="175"/>
      <c r="Q18" s="175"/>
      <c r="R18" s="175"/>
      <c r="S18" s="175"/>
      <c r="T18" s="175"/>
      <c r="U18" s="175"/>
      <c r="V18" s="175"/>
      <c r="W18" s="175"/>
      <c r="X18" s="175"/>
      <c r="Y18" s="175"/>
      <c r="Z18" s="175"/>
      <c r="AA18" s="175"/>
    </row>
    <row r="19" ht="18.0" customHeight="1">
      <c r="A19" s="258"/>
      <c r="C19" s="175" t="s">
        <v>217</v>
      </c>
      <c r="D19" s="175" t="s">
        <v>218</v>
      </c>
      <c r="E19" s="259" t="str">
        <f>E8</f>
        <v>■ The purpose of this project is for the member to clearly define how Toastmasters envisions mentoring.                                                                        
■ The purpose of this speech is for the member to share some aspect of a previous experience as a protégé.                                                                        </v>
      </c>
      <c r="F19" s="175"/>
      <c r="G19" s="175"/>
      <c r="H19" s="175"/>
      <c r="I19" s="175"/>
      <c r="J19" s="175"/>
      <c r="K19" s="175"/>
      <c r="L19" s="175"/>
      <c r="M19" s="175"/>
      <c r="N19" s="175"/>
      <c r="O19" s="175"/>
      <c r="P19" s="175"/>
      <c r="Q19" s="175"/>
      <c r="R19" s="175"/>
      <c r="S19" s="175"/>
      <c r="T19" s="175"/>
      <c r="U19" s="175"/>
      <c r="V19" s="175"/>
      <c r="W19" s="175"/>
      <c r="X19" s="175"/>
      <c r="Y19" s="175"/>
      <c r="Z19" s="175"/>
      <c r="AA19" s="175"/>
    </row>
    <row r="20" ht="18.0" customHeight="1">
      <c r="A20" s="258"/>
      <c r="C20" s="175" t="s">
        <v>220</v>
      </c>
      <c r="D20" s="175" t="s">
        <v>234</v>
      </c>
      <c r="E20" s="259" t="s">
        <v>235</v>
      </c>
      <c r="F20" s="175"/>
      <c r="G20" s="175"/>
      <c r="H20" s="175"/>
      <c r="I20" s="175"/>
      <c r="J20" s="175"/>
      <c r="K20" s="175"/>
      <c r="L20" s="175"/>
      <c r="M20" s="175"/>
      <c r="N20" s="175"/>
      <c r="O20" s="175"/>
      <c r="P20" s="175"/>
      <c r="Q20" s="175"/>
      <c r="R20" s="175"/>
      <c r="S20" s="175"/>
      <c r="T20" s="175"/>
      <c r="U20" s="175"/>
      <c r="V20" s="175"/>
      <c r="W20" s="175"/>
      <c r="X20" s="175"/>
      <c r="Y20" s="175"/>
      <c r="Z20" s="175"/>
      <c r="AA20" s="175"/>
    </row>
    <row r="21" ht="18.0" customHeight="1">
      <c r="A21" s="258"/>
      <c r="C21" s="175" t="s">
        <v>223</v>
      </c>
      <c r="D21" s="175" t="s">
        <v>236</v>
      </c>
      <c r="E21" s="259" t="s">
        <v>237</v>
      </c>
      <c r="F21" s="175"/>
      <c r="G21" s="175"/>
      <c r="H21" s="175"/>
      <c r="I21" s="175"/>
      <c r="J21" s="175"/>
      <c r="K21" s="175"/>
      <c r="L21" s="175"/>
      <c r="M21" s="175"/>
      <c r="N21" s="175"/>
      <c r="O21" s="175"/>
      <c r="P21" s="175"/>
      <c r="Q21" s="175"/>
      <c r="R21" s="175"/>
      <c r="S21" s="175"/>
      <c r="T21" s="175"/>
      <c r="U21" s="175"/>
      <c r="V21" s="175"/>
      <c r="W21" s="175"/>
      <c r="X21" s="175"/>
      <c r="Y21" s="175"/>
      <c r="Z21" s="175"/>
      <c r="AA21" s="175"/>
    </row>
    <row r="22" ht="18.0" customHeight="1">
      <c r="A22" s="258"/>
      <c r="C22" s="175" t="s">
        <v>226</v>
      </c>
      <c r="D22" s="175" t="s">
        <v>134</v>
      </c>
      <c r="E22" s="259" t="s">
        <v>238</v>
      </c>
      <c r="F22" s="175"/>
      <c r="G22" s="175"/>
      <c r="H22" s="175"/>
      <c r="I22" s="175"/>
      <c r="J22" s="175"/>
      <c r="K22" s="175"/>
      <c r="L22" s="175"/>
      <c r="M22" s="175"/>
      <c r="N22" s="175"/>
      <c r="O22" s="175"/>
      <c r="P22" s="175"/>
      <c r="Q22" s="175"/>
      <c r="R22" s="175"/>
      <c r="S22" s="175"/>
      <c r="T22" s="175"/>
      <c r="U22" s="175"/>
      <c r="V22" s="175"/>
      <c r="W22" s="175"/>
      <c r="X22" s="175"/>
      <c r="Y22" s="175"/>
      <c r="Z22" s="175"/>
      <c r="AA22" s="175"/>
    </row>
    <row r="23" ht="18.0" customHeight="1">
      <c r="A23" s="260"/>
      <c r="B23" s="117"/>
      <c r="C23" s="261" t="s">
        <v>137</v>
      </c>
      <c r="D23" s="261" t="s">
        <v>229</v>
      </c>
      <c r="E23" s="262" t="str">
        <f>E12</f>
        <v>■ The purpose of this project is for the member to reflect on his or her growth during the completion of an entire path.
■ The purpose of the speech is for the member to share some aspect of his or her growth during the completion of a path.</v>
      </c>
      <c r="F23" s="175"/>
      <c r="G23" s="175"/>
      <c r="H23" s="175"/>
      <c r="I23" s="175"/>
      <c r="J23" s="175"/>
      <c r="K23" s="175"/>
      <c r="L23" s="175"/>
      <c r="M23" s="175"/>
      <c r="N23" s="175"/>
      <c r="O23" s="175"/>
      <c r="P23" s="175"/>
      <c r="Q23" s="175"/>
      <c r="R23" s="175"/>
      <c r="S23" s="175"/>
      <c r="T23" s="175"/>
      <c r="U23" s="175"/>
      <c r="V23" s="175"/>
      <c r="W23" s="175"/>
      <c r="X23" s="175"/>
      <c r="Y23" s="175"/>
      <c r="Z23" s="175"/>
      <c r="AA23" s="175"/>
    </row>
    <row r="24" ht="18.0" customHeight="1">
      <c r="A24" s="254" t="s">
        <v>239</v>
      </c>
      <c r="B24" s="256" t="s">
        <v>240</v>
      </c>
      <c r="C24" s="256" t="s">
        <v>143</v>
      </c>
      <c r="D24" s="256" t="s">
        <v>140</v>
      </c>
      <c r="E24" s="257" t="s">
        <v>202</v>
      </c>
    </row>
    <row r="25" ht="18.0" customHeight="1">
      <c r="A25" s="258"/>
      <c r="C25" s="175" t="s">
        <v>203</v>
      </c>
      <c r="D25" s="175" t="s">
        <v>204</v>
      </c>
      <c r="E25" s="259" t="s">
        <v>205</v>
      </c>
    </row>
    <row r="26" ht="18.0" customHeight="1">
      <c r="A26" s="258"/>
      <c r="C26" s="175" t="s">
        <v>206</v>
      </c>
      <c r="D26" s="175" t="s">
        <v>207</v>
      </c>
      <c r="E26" s="259" t="s">
        <v>208</v>
      </c>
    </row>
    <row r="27" ht="18.0" customHeight="1">
      <c r="A27" s="258"/>
      <c r="C27" s="175" t="s">
        <v>209</v>
      </c>
      <c r="D27" s="175" t="s">
        <v>210</v>
      </c>
      <c r="E27" s="259" t="s">
        <v>211</v>
      </c>
    </row>
    <row r="28" ht="18.0" customHeight="1">
      <c r="A28" s="258"/>
      <c r="C28" s="175" t="s">
        <v>212</v>
      </c>
      <c r="D28" s="175" t="s">
        <v>241</v>
      </c>
      <c r="E28" s="259" t="s">
        <v>242</v>
      </c>
    </row>
    <row r="29" ht="18.0" customHeight="1">
      <c r="A29" s="258"/>
      <c r="C29" s="175" t="s">
        <v>214</v>
      </c>
      <c r="D29" s="175" t="s">
        <v>243</v>
      </c>
      <c r="E29" s="259" t="s">
        <v>80</v>
      </c>
    </row>
    <row r="30" ht="18.0" customHeight="1">
      <c r="A30" s="258"/>
      <c r="C30" s="175" t="s">
        <v>217</v>
      </c>
      <c r="D30" s="175" t="s">
        <v>218</v>
      </c>
      <c r="E30" s="263" t="str">
        <f>E8</f>
        <v>■ The purpose of this project is for the member to clearly define how Toastmasters envisions mentoring.                                                                        
■ The purpose of this speech is for the member to share some aspect of a previous experience as a protégé.                                                                        </v>
      </c>
    </row>
    <row r="31" ht="18.0" customHeight="1">
      <c r="A31" s="258"/>
      <c r="C31" s="175" t="s">
        <v>220</v>
      </c>
      <c r="D31" s="175" t="s">
        <v>244</v>
      </c>
      <c r="E31" s="259" t="s">
        <v>245</v>
      </c>
    </row>
    <row r="32" ht="18.0" customHeight="1">
      <c r="A32" s="258"/>
      <c r="C32" s="175" t="s">
        <v>223</v>
      </c>
      <c r="D32" s="175" t="s">
        <v>246</v>
      </c>
      <c r="E32" s="259" t="s">
        <v>247</v>
      </c>
    </row>
    <row r="33" ht="18.0" customHeight="1">
      <c r="A33" s="258"/>
      <c r="C33" s="175" t="s">
        <v>226</v>
      </c>
      <c r="D33" s="175" t="s">
        <v>248</v>
      </c>
      <c r="E33" s="259" t="s">
        <v>249</v>
      </c>
    </row>
    <row r="34" ht="18.0" customHeight="1">
      <c r="A34" s="260"/>
      <c r="B34" s="117"/>
      <c r="C34" s="261" t="s">
        <v>137</v>
      </c>
      <c r="D34" s="261" t="s">
        <v>229</v>
      </c>
      <c r="E34" s="262" t="str">
        <f>E12</f>
        <v>■ The purpose of this project is for the member to reflect on his or her growth during the completion of an entire path.
■ The purpose of the speech is for the member to share some aspect of his or her growth during the completion of a path.</v>
      </c>
    </row>
    <row r="35" ht="18.0" customHeight="1">
      <c r="A35" s="254" t="s">
        <v>250</v>
      </c>
      <c r="B35" s="256" t="s">
        <v>251</v>
      </c>
      <c r="C35" s="256" t="s">
        <v>143</v>
      </c>
      <c r="D35" s="256" t="s">
        <v>140</v>
      </c>
      <c r="E35" s="257" t="s">
        <v>202</v>
      </c>
    </row>
    <row r="36" ht="18.0" customHeight="1">
      <c r="A36" s="258"/>
      <c r="C36" s="175" t="s">
        <v>203</v>
      </c>
      <c r="D36" s="175" t="s">
        <v>204</v>
      </c>
      <c r="E36" s="259" t="s">
        <v>205</v>
      </c>
    </row>
    <row r="37" ht="18.0" customHeight="1">
      <c r="A37" s="258"/>
      <c r="C37" s="175" t="s">
        <v>206</v>
      </c>
      <c r="D37" s="175" t="s">
        <v>207</v>
      </c>
      <c r="E37" s="259" t="s">
        <v>208</v>
      </c>
    </row>
    <row r="38" ht="18.0" customHeight="1">
      <c r="A38" s="258"/>
      <c r="C38" s="175" t="s">
        <v>209</v>
      </c>
      <c r="D38" s="175" t="s">
        <v>210</v>
      </c>
      <c r="E38" s="259" t="s">
        <v>211</v>
      </c>
    </row>
    <row r="39" ht="18.0" customHeight="1">
      <c r="A39" s="258"/>
      <c r="C39" s="175" t="s">
        <v>212</v>
      </c>
      <c r="D39" s="175" t="s">
        <v>213</v>
      </c>
      <c r="E39" s="259" t="s">
        <v>77</v>
      </c>
    </row>
    <row r="40" ht="18.0" customHeight="1">
      <c r="A40" s="258"/>
      <c r="C40" s="175" t="s">
        <v>214</v>
      </c>
      <c r="D40" s="175" t="s">
        <v>252</v>
      </c>
      <c r="E40" s="259" t="s">
        <v>80</v>
      </c>
    </row>
    <row r="41" ht="18.0" customHeight="1">
      <c r="A41" s="258"/>
      <c r="C41" s="175" t="s">
        <v>217</v>
      </c>
      <c r="D41" s="175" t="s">
        <v>218</v>
      </c>
      <c r="E41" s="263" t="str">
        <f>E8</f>
        <v>■ The purpose of this project is for the member to clearly define how Toastmasters envisions mentoring.                                                                        
■ The purpose of this speech is for the member to share some aspect of a previous experience as a protégé.                                                                        </v>
      </c>
    </row>
    <row r="42" ht="18.0" customHeight="1">
      <c r="A42" s="258"/>
      <c r="C42" s="175" t="s">
        <v>220</v>
      </c>
      <c r="D42" s="175" t="s">
        <v>253</v>
      </c>
      <c r="E42" s="259" t="s">
        <v>254</v>
      </c>
    </row>
    <row r="43" ht="18.0" customHeight="1">
      <c r="A43" s="258"/>
      <c r="C43" s="175" t="s">
        <v>223</v>
      </c>
      <c r="D43" s="175" t="s">
        <v>255</v>
      </c>
      <c r="E43" s="259" t="s">
        <v>256</v>
      </c>
    </row>
    <row r="44" ht="18.0" customHeight="1">
      <c r="A44" s="258"/>
      <c r="C44" s="175" t="s">
        <v>226</v>
      </c>
      <c r="D44" s="175" t="s">
        <v>134</v>
      </c>
      <c r="E44" s="259" t="s">
        <v>238</v>
      </c>
    </row>
    <row r="45" ht="18.0" customHeight="1">
      <c r="A45" s="260"/>
      <c r="B45" s="117"/>
      <c r="C45" s="261" t="s">
        <v>137</v>
      </c>
      <c r="D45" s="261" t="s">
        <v>229</v>
      </c>
      <c r="E45" s="264" t="str">
        <f>E12</f>
        <v>■ The purpose of this project is for the member to reflect on his or her growth during the completion of an entire path.
■ The purpose of the speech is for the member to share some aspect of his or her growth during the completion of a path.</v>
      </c>
    </row>
    <row r="46" ht="18.0" customHeight="1">
      <c r="A46" s="254" t="s">
        <v>257</v>
      </c>
      <c r="B46" s="256" t="s">
        <v>258</v>
      </c>
      <c r="C46" s="256" t="s">
        <v>143</v>
      </c>
      <c r="D46" s="256" t="s">
        <v>140</v>
      </c>
      <c r="E46" s="257" t="s">
        <v>202</v>
      </c>
    </row>
    <row r="47" ht="18.0" customHeight="1">
      <c r="A47" s="258"/>
      <c r="C47" s="175" t="s">
        <v>203</v>
      </c>
      <c r="D47" s="175" t="s">
        <v>204</v>
      </c>
      <c r="E47" s="259" t="s">
        <v>205</v>
      </c>
    </row>
    <row r="48" ht="18.0" customHeight="1">
      <c r="A48" s="258"/>
      <c r="C48" s="175" t="s">
        <v>206</v>
      </c>
      <c r="D48" s="175" t="s">
        <v>207</v>
      </c>
      <c r="E48" s="259" t="s">
        <v>208</v>
      </c>
    </row>
    <row r="49" ht="18.0" customHeight="1">
      <c r="A49" s="258"/>
      <c r="C49" s="175" t="s">
        <v>209</v>
      </c>
      <c r="D49" s="175" t="s">
        <v>210</v>
      </c>
      <c r="E49" s="259" t="s">
        <v>211</v>
      </c>
    </row>
    <row r="50" ht="18.0" customHeight="1">
      <c r="A50" s="258"/>
      <c r="C50" s="175" t="s">
        <v>212</v>
      </c>
      <c r="D50" s="175" t="s">
        <v>259</v>
      </c>
      <c r="E50" s="259" t="s">
        <v>260</v>
      </c>
    </row>
    <row r="51" ht="18.0" customHeight="1">
      <c r="A51" s="258"/>
      <c r="C51" s="175" t="s">
        <v>214</v>
      </c>
      <c r="D51" s="175" t="s">
        <v>213</v>
      </c>
      <c r="E51" s="259" t="s">
        <v>77</v>
      </c>
    </row>
    <row r="52" ht="18.0" customHeight="1">
      <c r="A52" s="258"/>
      <c r="C52" s="175" t="s">
        <v>217</v>
      </c>
      <c r="D52" s="175" t="s">
        <v>218</v>
      </c>
      <c r="E52" s="263" t="str">
        <f>E8</f>
        <v>■ The purpose of this project is for the member to clearly define how Toastmasters envisions mentoring.                                                                        
■ The purpose of this speech is for the member to share some aspect of a previous experience as a protégé.                                                                        </v>
      </c>
    </row>
    <row r="53" ht="18.0" customHeight="1">
      <c r="A53" s="258"/>
      <c r="C53" s="175" t="s">
        <v>220</v>
      </c>
      <c r="D53" s="175" t="s">
        <v>261</v>
      </c>
      <c r="E53" s="259" t="s">
        <v>262</v>
      </c>
    </row>
    <row r="54" ht="18.0" customHeight="1">
      <c r="A54" s="258"/>
      <c r="C54" s="175" t="s">
        <v>263</v>
      </c>
      <c r="D54" s="175" t="s">
        <v>264</v>
      </c>
      <c r="E54" s="259" t="s">
        <v>265</v>
      </c>
    </row>
    <row r="55" ht="18.0" customHeight="1">
      <c r="A55" s="258"/>
      <c r="C55" s="175" t="s">
        <v>266</v>
      </c>
      <c r="D55" s="175" t="s">
        <v>267</v>
      </c>
      <c r="E55" s="259" t="s">
        <v>268</v>
      </c>
    </row>
    <row r="56" ht="18.0" customHeight="1">
      <c r="A56" s="258"/>
      <c r="C56" s="175" t="s">
        <v>223</v>
      </c>
      <c r="D56" s="175" t="s">
        <v>269</v>
      </c>
      <c r="E56" s="259" t="s">
        <v>270</v>
      </c>
    </row>
    <row r="57" ht="18.0" customHeight="1">
      <c r="A57" s="258"/>
      <c r="C57" s="175" t="s">
        <v>226</v>
      </c>
      <c r="D57" s="175" t="s">
        <v>271</v>
      </c>
      <c r="E57" s="259" t="s">
        <v>272</v>
      </c>
    </row>
    <row r="58" ht="18.0" customHeight="1">
      <c r="A58" s="260"/>
      <c r="B58" s="117"/>
      <c r="C58" s="261" t="s">
        <v>137</v>
      </c>
      <c r="D58" s="261" t="s">
        <v>229</v>
      </c>
      <c r="E58" s="264" t="str">
        <f>E12</f>
        <v>■ The purpose of this project is for the member to reflect on his or her growth during the completion of an entire path.
■ The purpose of the speech is for the member to share some aspect of his or her growth during the completion of a path.</v>
      </c>
    </row>
    <row r="59" ht="18.0" customHeight="1">
      <c r="A59" s="254" t="s">
        <v>136</v>
      </c>
      <c r="B59" s="256" t="s">
        <v>138</v>
      </c>
      <c r="C59" s="256" t="s">
        <v>143</v>
      </c>
      <c r="D59" s="256" t="s">
        <v>140</v>
      </c>
      <c r="E59" s="257" t="s">
        <v>202</v>
      </c>
    </row>
    <row r="60" ht="18.0" customHeight="1">
      <c r="A60" s="258"/>
      <c r="C60" s="175" t="s">
        <v>203</v>
      </c>
      <c r="D60" s="175" t="s">
        <v>204</v>
      </c>
      <c r="E60" s="259" t="s">
        <v>205</v>
      </c>
    </row>
    <row r="61" ht="18.0" customHeight="1">
      <c r="A61" s="258"/>
      <c r="C61" s="175" t="s">
        <v>206</v>
      </c>
      <c r="D61" s="175" t="s">
        <v>207</v>
      </c>
      <c r="E61" s="259" t="s">
        <v>208</v>
      </c>
    </row>
    <row r="62" ht="18.0" customHeight="1">
      <c r="A62" s="258"/>
      <c r="C62" s="175" t="s">
        <v>209</v>
      </c>
      <c r="D62" s="175" t="s">
        <v>210</v>
      </c>
      <c r="E62" s="259" t="s">
        <v>211</v>
      </c>
    </row>
    <row r="63" ht="18.0" customHeight="1">
      <c r="A63" s="258"/>
      <c r="C63" s="175" t="s">
        <v>212</v>
      </c>
      <c r="D63" s="175" t="s">
        <v>215</v>
      </c>
      <c r="E63" s="259" t="s">
        <v>216</v>
      </c>
    </row>
    <row r="64" ht="18.0" customHeight="1">
      <c r="A64" s="258"/>
      <c r="C64" s="175" t="s">
        <v>214</v>
      </c>
      <c r="D64" s="175" t="s">
        <v>273</v>
      </c>
      <c r="E64" s="259" t="s">
        <v>274</v>
      </c>
    </row>
    <row r="65" ht="18.0" customHeight="1">
      <c r="A65" s="258"/>
      <c r="C65" s="175" t="s">
        <v>217</v>
      </c>
      <c r="D65" s="175" t="s">
        <v>218</v>
      </c>
      <c r="E65" s="263" t="str">
        <f>E8</f>
        <v>■ The purpose of this project is for the member to clearly define how Toastmasters envisions mentoring.                                                                        
■ The purpose of this speech is for the member to share some aspect of a previous experience as a protégé.                                                                        </v>
      </c>
    </row>
    <row r="66" ht="18.0" customHeight="1">
      <c r="A66" s="258"/>
      <c r="C66" s="175" t="s">
        <v>220</v>
      </c>
      <c r="D66" s="175" t="s">
        <v>275</v>
      </c>
      <c r="E66" s="259" t="s">
        <v>276</v>
      </c>
    </row>
    <row r="67" ht="18.0" customHeight="1">
      <c r="A67" s="258"/>
      <c r="C67" s="175" t="s">
        <v>277</v>
      </c>
      <c r="D67" s="175" t="s">
        <v>278</v>
      </c>
      <c r="E67" s="259" t="s">
        <v>279</v>
      </c>
    </row>
    <row r="68" ht="18.0" customHeight="1">
      <c r="A68" s="258"/>
      <c r="C68" s="175" t="s">
        <v>223</v>
      </c>
      <c r="D68" s="175" t="s">
        <v>280</v>
      </c>
      <c r="E68" s="259" t="s">
        <v>281</v>
      </c>
    </row>
    <row r="69" ht="18.0" customHeight="1">
      <c r="A69" s="258"/>
      <c r="C69" s="175" t="s">
        <v>226</v>
      </c>
      <c r="D69" s="175" t="s">
        <v>282</v>
      </c>
      <c r="E69" s="259" t="s">
        <v>283</v>
      </c>
    </row>
    <row r="70" ht="18.0" customHeight="1">
      <c r="A70" s="260"/>
      <c r="B70" s="117"/>
      <c r="C70" s="261" t="s">
        <v>137</v>
      </c>
      <c r="D70" s="261" t="s">
        <v>229</v>
      </c>
      <c r="E70" s="264" t="str">
        <f>E12</f>
        <v>■ The purpose of this project is for the member to reflect on his or her growth during the completion of an entire path.
■ The purpose of the speech is for the member to share some aspect of his or her growth during the completion of a path.</v>
      </c>
    </row>
    <row r="71" ht="18.0" customHeight="1">
      <c r="A71" s="254" t="s">
        <v>284</v>
      </c>
      <c r="B71" s="256" t="s">
        <v>285</v>
      </c>
      <c r="C71" s="256" t="s">
        <v>143</v>
      </c>
      <c r="D71" s="256" t="s">
        <v>140</v>
      </c>
      <c r="E71" s="257" t="s">
        <v>202</v>
      </c>
    </row>
    <row r="72" ht="18.0" customHeight="1">
      <c r="A72" s="258"/>
      <c r="C72" s="175" t="s">
        <v>203</v>
      </c>
      <c r="D72" s="175" t="s">
        <v>204</v>
      </c>
      <c r="E72" s="259" t="s">
        <v>205</v>
      </c>
    </row>
    <row r="73" ht="18.0" customHeight="1">
      <c r="A73" s="258"/>
      <c r="C73" s="175" t="s">
        <v>206</v>
      </c>
      <c r="D73" s="175" t="s">
        <v>207</v>
      </c>
      <c r="E73" s="259" t="s">
        <v>208</v>
      </c>
    </row>
    <row r="74" ht="18.0" customHeight="1">
      <c r="A74" s="258"/>
      <c r="C74" s="175" t="s">
        <v>209</v>
      </c>
      <c r="D74" s="175" t="s">
        <v>210</v>
      </c>
      <c r="E74" s="259" t="s">
        <v>211</v>
      </c>
    </row>
    <row r="75" ht="18.0" customHeight="1">
      <c r="A75" s="258"/>
      <c r="C75" s="175" t="s">
        <v>212</v>
      </c>
      <c r="D75" s="175" t="s">
        <v>213</v>
      </c>
      <c r="E75" s="259" t="s">
        <v>77</v>
      </c>
    </row>
    <row r="76" ht="18.0" customHeight="1">
      <c r="A76" s="258"/>
      <c r="C76" s="175" t="s">
        <v>214</v>
      </c>
      <c r="D76" s="175" t="s">
        <v>273</v>
      </c>
      <c r="E76" s="259" t="s">
        <v>274</v>
      </c>
    </row>
    <row r="77" ht="18.0" customHeight="1">
      <c r="A77" s="258"/>
      <c r="C77" s="175" t="s">
        <v>217</v>
      </c>
      <c r="D77" s="175" t="s">
        <v>218</v>
      </c>
      <c r="E77" s="263" t="str">
        <f>E8</f>
        <v>■ The purpose of this project is for the member to clearly define how Toastmasters envisions mentoring.                                                                        
■ The purpose of this speech is for the member to share some aspect of a previous experience as a protégé.                                                                        </v>
      </c>
    </row>
    <row r="78" ht="18.0" customHeight="1">
      <c r="A78" s="258"/>
      <c r="C78" s="175" t="s">
        <v>220</v>
      </c>
      <c r="D78" s="175" t="s">
        <v>286</v>
      </c>
      <c r="E78" s="259" t="s">
        <v>287</v>
      </c>
    </row>
    <row r="79" ht="18.0" customHeight="1">
      <c r="A79" s="258"/>
      <c r="C79" s="175" t="s">
        <v>223</v>
      </c>
      <c r="D79" s="175" t="s">
        <v>288</v>
      </c>
      <c r="E79" s="259" t="s">
        <v>289</v>
      </c>
    </row>
    <row r="80" ht="18.0" customHeight="1">
      <c r="A80" s="258"/>
      <c r="C80" s="175" t="s">
        <v>226</v>
      </c>
      <c r="D80" s="175" t="s">
        <v>134</v>
      </c>
      <c r="E80" s="259" t="s">
        <v>238</v>
      </c>
    </row>
    <row r="81" ht="18.0" customHeight="1">
      <c r="A81" s="260"/>
      <c r="B81" s="117"/>
      <c r="C81" s="261" t="s">
        <v>137</v>
      </c>
      <c r="D81" s="261" t="s">
        <v>229</v>
      </c>
      <c r="E81" s="264" t="str">
        <f>E12</f>
        <v>■ The purpose of this project is for the member to reflect on his or her growth during the completion of an entire path.
■ The purpose of the speech is for the member to share some aspect of his or her growth during the completion of a path.</v>
      </c>
    </row>
    <row r="82" ht="18.0" customHeight="1">
      <c r="A82" s="254" t="s">
        <v>142</v>
      </c>
      <c r="B82" s="256" t="s">
        <v>144</v>
      </c>
      <c r="C82" s="256" t="s">
        <v>143</v>
      </c>
      <c r="D82" s="256" t="s">
        <v>140</v>
      </c>
      <c r="E82" s="257" t="s">
        <v>202</v>
      </c>
    </row>
    <row r="83" ht="18.0" customHeight="1">
      <c r="A83" s="258"/>
      <c r="C83" s="175" t="s">
        <v>203</v>
      </c>
      <c r="D83" s="175" t="s">
        <v>204</v>
      </c>
      <c r="E83" s="259" t="s">
        <v>205</v>
      </c>
    </row>
    <row r="84" ht="18.0" customHeight="1">
      <c r="A84" s="258"/>
      <c r="C84" s="175" t="s">
        <v>206</v>
      </c>
      <c r="D84" s="175" t="s">
        <v>207</v>
      </c>
      <c r="E84" s="259" t="s">
        <v>208</v>
      </c>
    </row>
    <row r="85" ht="18.0" customHeight="1">
      <c r="A85" s="258"/>
      <c r="C85" s="175" t="s">
        <v>209</v>
      </c>
      <c r="D85" s="175" t="s">
        <v>210</v>
      </c>
      <c r="E85" s="259" t="s">
        <v>211</v>
      </c>
    </row>
    <row r="86" ht="18.0" customHeight="1">
      <c r="A86" s="258"/>
      <c r="C86" s="175" t="s">
        <v>212</v>
      </c>
      <c r="D86" s="175" t="s">
        <v>215</v>
      </c>
      <c r="E86" s="259" t="s">
        <v>216</v>
      </c>
    </row>
    <row r="87" ht="18.0" customHeight="1">
      <c r="A87" s="258"/>
      <c r="C87" s="175" t="s">
        <v>214</v>
      </c>
      <c r="D87" s="175" t="s">
        <v>290</v>
      </c>
      <c r="E87" s="259" t="s">
        <v>291</v>
      </c>
    </row>
    <row r="88" ht="18.0" customHeight="1">
      <c r="A88" s="258"/>
      <c r="C88" s="175" t="s">
        <v>217</v>
      </c>
      <c r="D88" s="175" t="s">
        <v>218</v>
      </c>
      <c r="E88" s="263" t="str">
        <f>E8</f>
        <v>■ The purpose of this project is for the member to clearly define how Toastmasters envisions mentoring.                                                                        
■ The purpose of this speech is for the member to share some aspect of a previous experience as a protégé.                                                                        </v>
      </c>
    </row>
    <row r="89" ht="18.0" customHeight="1">
      <c r="A89" s="258"/>
      <c r="C89" s="175" t="s">
        <v>220</v>
      </c>
      <c r="D89" s="175" t="s">
        <v>292</v>
      </c>
      <c r="E89" s="259" t="s">
        <v>293</v>
      </c>
    </row>
    <row r="90" ht="18.0" customHeight="1">
      <c r="A90" s="258"/>
      <c r="C90" s="175" t="s">
        <v>223</v>
      </c>
      <c r="D90" s="175" t="s">
        <v>294</v>
      </c>
      <c r="E90" s="259" t="s">
        <v>295</v>
      </c>
    </row>
    <row r="91" ht="18.0" customHeight="1">
      <c r="A91" s="258"/>
      <c r="C91" s="175" t="s">
        <v>226</v>
      </c>
      <c r="D91" s="175" t="s">
        <v>296</v>
      </c>
      <c r="E91" s="259" t="s">
        <v>297</v>
      </c>
    </row>
    <row r="92" ht="18.0" customHeight="1">
      <c r="A92" s="260"/>
      <c r="B92" s="117"/>
      <c r="C92" s="261" t="s">
        <v>137</v>
      </c>
      <c r="D92" s="261" t="s">
        <v>229</v>
      </c>
      <c r="E92" s="264" t="str">
        <f>E12</f>
        <v>■ The purpose of this project is for the member to reflect on his or her growth during the completion of an entire path.
■ The purpose of the speech is for the member to share some aspect of his or her growth during the completion of a path.</v>
      </c>
    </row>
    <row r="93" ht="18.0" customHeight="1">
      <c r="A93" s="254" t="s">
        <v>298</v>
      </c>
      <c r="B93" s="256" t="s">
        <v>299</v>
      </c>
      <c r="C93" s="256" t="s">
        <v>143</v>
      </c>
      <c r="D93" s="256" t="s">
        <v>140</v>
      </c>
      <c r="E93" s="257" t="s">
        <v>202</v>
      </c>
    </row>
    <row r="94" ht="18.0" customHeight="1">
      <c r="A94" s="258"/>
      <c r="C94" s="175" t="s">
        <v>203</v>
      </c>
      <c r="D94" s="175" t="s">
        <v>204</v>
      </c>
      <c r="E94" s="259" t="s">
        <v>205</v>
      </c>
    </row>
    <row r="95" ht="18.0" customHeight="1">
      <c r="A95" s="258"/>
      <c r="C95" s="175" t="s">
        <v>206</v>
      </c>
      <c r="D95" s="175" t="s">
        <v>207</v>
      </c>
      <c r="E95" s="259" t="s">
        <v>208</v>
      </c>
    </row>
    <row r="96" ht="18.0" customHeight="1">
      <c r="A96" s="258"/>
      <c r="C96" s="175" t="s">
        <v>209</v>
      </c>
      <c r="D96" s="175" t="s">
        <v>210</v>
      </c>
      <c r="E96" s="259" t="s">
        <v>211</v>
      </c>
    </row>
    <row r="97" ht="18.0" customHeight="1">
      <c r="A97" s="258"/>
      <c r="C97" s="175" t="s">
        <v>212</v>
      </c>
      <c r="D97" s="175" t="s">
        <v>213</v>
      </c>
      <c r="E97" s="259" t="s">
        <v>77</v>
      </c>
    </row>
    <row r="98" ht="18.0" customHeight="1">
      <c r="A98" s="258"/>
      <c r="C98" s="175" t="s">
        <v>214</v>
      </c>
      <c r="D98" s="175" t="s">
        <v>273</v>
      </c>
      <c r="E98" s="259" t="s">
        <v>274</v>
      </c>
    </row>
    <row r="99" ht="18.0" customHeight="1">
      <c r="A99" s="258"/>
      <c r="C99" s="175" t="s">
        <v>217</v>
      </c>
      <c r="D99" s="175" t="s">
        <v>218</v>
      </c>
      <c r="E99" s="263" t="str">
        <f>E8</f>
        <v>■ The purpose of this project is for the member to clearly define how Toastmasters envisions mentoring.                                                                        
■ The purpose of this speech is for the member to share some aspect of a previous experience as a protégé.                                                                        </v>
      </c>
    </row>
    <row r="100" ht="18.0" customHeight="1">
      <c r="A100" s="258"/>
      <c r="C100" s="175" t="s">
        <v>220</v>
      </c>
      <c r="D100" s="175" t="s">
        <v>300</v>
      </c>
      <c r="E100" s="259" t="s">
        <v>301</v>
      </c>
    </row>
    <row r="101" ht="18.0" customHeight="1">
      <c r="A101" s="258"/>
      <c r="C101" s="175" t="s">
        <v>223</v>
      </c>
      <c r="D101" s="175" t="s">
        <v>302</v>
      </c>
      <c r="E101" s="259" t="s">
        <v>303</v>
      </c>
    </row>
    <row r="102" ht="18.0" customHeight="1">
      <c r="A102" s="258"/>
      <c r="C102" s="175" t="s">
        <v>226</v>
      </c>
      <c r="D102" s="175" t="s">
        <v>304</v>
      </c>
      <c r="E102" s="259" t="s">
        <v>305</v>
      </c>
    </row>
    <row r="103" ht="18.0" customHeight="1">
      <c r="A103" s="260"/>
      <c r="B103" s="117"/>
      <c r="C103" s="261" t="s">
        <v>137</v>
      </c>
      <c r="D103" s="261" t="s">
        <v>229</v>
      </c>
      <c r="E103" s="264" t="str">
        <f>E12</f>
        <v>■ The purpose of this project is for the member to reflect on his or her growth during the completion of an entire path.
■ The purpose of the speech is for the member to share some aspect of his or her growth during the completion of a path.</v>
      </c>
    </row>
    <row r="104" ht="18.0" customHeight="1">
      <c r="A104" s="254" t="s">
        <v>306</v>
      </c>
      <c r="B104" s="256" t="s">
        <v>307</v>
      </c>
      <c r="C104" s="256" t="s">
        <v>143</v>
      </c>
      <c r="D104" s="256" t="s">
        <v>140</v>
      </c>
      <c r="E104" s="257" t="s">
        <v>202</v>
      </c>
    </row>
    <row r="105" ht="18.0" customHeight="1">
      <c r="A105" s="258"/>
      <c r="C105" s="175" t="s">
        <v>203</v>
      </c>
      <c r="D105" s="175" t="s">
        <v>204</v>
      </c>
      <c r="E105" s="259" t="s">
        <v>205</v>
      </c>
    </row>
    <row r="106" ht="18.0" customHeight="1">
      <c r="A106" s="258"/>
      <c r="C106" s="175" t="s">
        <v>203</v>
      </c>
      <c r="D106" s="175" t="s">
        <v>308</v>
      </c>
      <c r="E106" s="259" t="s">
        <v>211</v>
      </c>
    </row>
    <row r="107" ht="18.0" customHeight="1">
      <c r="A107" s="258"/>
      <c r="C107" s="175" t="s">
        <v>206</v>
      </c>
      <c r="D107" s="175" t="s">
        <v>207</v>
      </c>
      <c r="E107" s="259" t="s">
        <v>208</v>
      </c>
    </row>
    <row r="108" ht="18.0" customHeight="1">
      <c r="A108" s="258"/>
      <c r="C108" s="175" t="s">
        <v>209</v>
      </c>
      <c r="D108" s="175" t="s">
        <v>210</v>
      </c>
      <c r="E108" s="259" t="s">
        <v>211</v>
      </c>
    </row>
    <row r="109" ht="18.0" customHeight="1">
      <c r="A109" s="258"/>
      <c r="C109" s="175" t="s">
        <v>212</v>
      </c>
      <c r="D109" s="175" t="s">
        <v>213</v>
      </c>
      <c r="E109" s="259" t="s">
        <v>77</v>
      </c>
    </row>
    <row r="110" ht="18.0" customHeight="1">
      <c r="A110" s="258"/>
      <c r="C110" s="175" t="s">
        <v>214</v>
      </c>
      <c r="D110" s="175" t="s">
        <v>273</v>
      </c>
      <c r="E110" s="259" t="s">
        <v>274</v>
      </c>
    </row>
    <row r="111" ht="18.0" customHeight="1">
      <c r="A111" s="258"/>
      <c r="C111" s="175" t="s">
        <v>217</v>
      </c>
      <c r="D111" s="175" t="s">
        <v>218</v>
      </c>
      <c r="E111" s="263" t="str">
        <f>E8</f>
        <v>■ The purpose of this project is for the member to clearly define how Toastmasters envisions mentoring.                                                                        
■ The purpose of this speech is for the member to share some aspect of a previous experience as a protégé.                                                                        </v>
      </c>
    </row>
    <row r="112" ht="18.0" customHeight="1">
      <c r="A112" s="258"/>
      <c r="C112" s="175" t="s">
        <v>220</v>
      </c>
      <c r="D112" s="175" t="s">
        <v>309</v>
      </c>
      <c r="E112" s="259" t="s">
        <v>310</v>
      </c>
    </row>
    <row r="113" ht="18.0" customHeight="1">
      <c r="A113" s="258"/>
      <c r="C113" s="175" t="s">
        <v>223</v>
      </c>
      <c r="D113" s="175" t="s">
        <v>280</v>
      </c>
      <c r="E113" s="259" t="s">
        <v>281</v>
      </c>
    </row>
    <row r="114" ht="18.0" customHeight="1">
      <c r="A114" s="258"/>
      <c r="C114" s="175" t="s">
        <v>226</v>
      </c>
      <c r="D114" s="175" t="s">
        <v>227</v>
      </c>
      <c r="E114" s="259" t="s">
        <v>228</v>
      </c>
    </row>
    <row r="115" ht="18.0" customHeight="1">
      <c r="A115" s="260"/>
      <c r="B115" s="117"/>
      <c r="C115" s="261" t="s">
        <v>137</v>
      </c>
      <c r="D115" s="261" t="s">
        <v>229</v>
      </c>
      <c r="E115" s="264" t="str">
        <f>E12</f>
        <v>■ The purpose of this project is for the member to reflect on his or her growth during the completion of an entire path.
■ The purpose of the speech is for the member to share some aspect of his or her growth during the completion of a path.</v>
      </c>
    </row>
    <row r="116" ht="18.0" customHeight="1">
      <c r="A116" s="254" t="s">
        <v>311</v>
      </c>
      <c r="B116" s="256" t="s">
        <v>312</v>
      </c>
      <c r="C116" s="256" t="s">
        <v>143</v>
      </c>
      <c r="D116" s="256" t="s">
        <v>140</v>
      </c>
      <c r="E116" s="257" t="s">
        <v>202</v>
      </c>
    </row>
    <row r="117" ht="18.0" customHeight="1">
      <c r="A117" s="258"/>
      <c r="C117" s="175" t="s">
        <v>203</v>
      </c>
      <c r="D117" s="175" t="s">
        <v>204</v>
      </c>
      <c r="E117" s="259" t="s">
        <v>205</v>
      </c>
    </row>
    <row r="118" ht="18.0" customHeight="1">
      <c r="A118" s="258"/>
      <c r="C118" s="175" t="s">
        <v>206</v>
      </c>
      <c r="D118" s="175" t="s">
        <v>207</v>
      </c>
      <c r="E118" s="259" t="s">
        <v>208</v>
      </c>
    </row>
    <row r="119" ht="18.0" customHeight="1">
      <c r="A119" s="258"/>
      <c r="C119" s="175" t="s">
        <v>209</v>
      </c>
      <c r="D119" s="175" t="s">
        <v>210</v>
      </c>
      <c r="E119" s="259" t="s">
        <v>211</v>
      </c>
    </row>
    <row r="120" ht="18.0" customHeight="1">
      <c r="A120" s="258"/>
      <c r="C120" s="175" t="s">
        <v>212</v>
      </c>
      <c r="D120" s="175" t="s">
        <v>213</v>
      </c>
      <c r="E120" s="259" t="s">
        <v>233</v>
      </c>
    </row>
    <row r="121" ht="18.0" customHeight="1">
      <c r="A121" s="258"/>
      <c r="C121" s="175" t="s">
        <v>214</v>
      </c>
      <c r="D121" s="175" t="s">
        <v>215</v>
      </c>
      <c r="E121" s="259" t="s">
        <v>216</v>
      </c>
    </row>
    <row r="122" ht="18.0" customHeight="1">
      <c r="A122" s="258"/>
      <c r="C122" s="175" t="s">
        <v>217</v>
      </c>
      <c r="D122" s="175" t="s">
        <v>218</v>
      </c>
      <c r="E122" s="263" t="str">
        <f>E8</f>
        <v>■ The purpose of this project is for the member to clearly define how Toastmasters envisions mentoring.                                                                        
■ The purpose of this speech is for the member to share some aspect of a previous experience as a protégé.                                                                        </v>
      </c>
    </row>
    <row r="123" ht="18.0" customHeight="1">
      <c r="A123" s="258"/>
      <c r="C123" s="175" t="s">
        <v>220</v>
      </c>
      <c r="D123" s="175" t="s">
        <v>313</v>
      </c>
      <c r="E123" s="259" t="s">
        <v>314</v>
      </c>
    </row>
    <row r="124" ht="18.0" customHeight="1">
      <c r="A124" s="258"/>
      <c r="C124" s="175" t="s">
        <v>263</v>
      </c>
      <c r="D124" s="175" t="s">
        <v>315</v>
      </c>
      <c r="E124" s="259" t="s">
        <v>316</v>
      </c>
    </row>
    <row r="125" ht="18.0" customHeight="1">
      <c r="A125" s="258"/>
      <c r="C125" s="175" t="s">
        <v>317</v>
      </c>
      <c r="D125" s="175" t="s">
        <v>318</v>
      </c>
      <c r="E125" s="259" t="s">
        <v>319</v>
      </c>
    </row>
    <row r="126" ht="18.0" customHeight="1">
      <c r="A126" s="258"/>
      <c r="C126" s="175" t="s">
        <v>223</v>
      </c>
      <c r="D126" s="175" t="s">
        <v>320</v>
      </c>
      <c r="E126" s="259" t="s">
        <v>321</v>
      </c>
    </row>
    <row r="127" ht="18.0" customHeight="1">
      <c r="A127" s="258"/>
      <c r="C127" s="175" t="s">
        <v>226</v>
      </c>
      <c r="D127" s="175" t="s">
        <v>322</v>
      </c>
      <c r="E127" s="259" t="s">
        <v>323</v>
      </c>
    </row>
    <row r="128" ht="18.0" customHeight="1">
      <c r="A128" s="260"/>
      <c r="B128" s="117"/>
      <c r="C128" s="261" t="s">
        <v>137</v>
      </c>
      <c r="D128" s="261" t="s">
        <v>229</v>
      </c>
      <c r="E128" s="264" t="str">
        <f>E12</f>
        <v>■ The purpose of this project is for the member to reflect on his or her growth during the completion of an entire path.
■ The purpose of the speech is for the member to share some aspect of his or her growth during the completion of a path.</v>
      </c>
    </row>
    <row r="129" ht="18.0" customHeight="1">
      <c r="D129" s="175" t="s">
        <v>324</v>
      </c>
      <c r="E129" s="265" t="s">
        <v>325</v>
      </c>
    </row>
    <row r="130" ht="18.0" customHeight="1">
      <c r="D130" s="175" t="s">
        <v>326</v>
      </c>
      <c r="E130" s="265" t="s">
        <v>327</v>
      </c>
    </row>
    <row r="131" ht="18.0" customHeight="1">
      <c r="E131" s="169"/>
    </row>
    <row r="132" ht="18.0" customHeight="1">
      <c r="E132" s="169"/>
    </row>
    <row r="133" ht="18.0" customHeight="1">
      <c r="E133" s="169"/>
    </row>
    <row r="134" ht="18.0" customHeight="1">
      <c r="E134" s="169"/>
    </row>
    <row r="135" ht="18.0" customHeight="1">
      <c r="E135" s="169"/>
    </row>
    <row r="136" ht="18.0" customHeight="1">
      <c r="E136" s="169"/>
    </row>
    <row r="137" ht="18.0" customHeight="1">
      <c r="E137" s="169"/>
    </row>
    <row r="138" ht="18.0" customHeight="1">
      <c r="E138" s="169"/>
    </row>
    <row r="139" ht="18.0" customHeight="1">
      <c r="E139" s="169"/>
    </row>
    <row r="140" ht="18.0" customHeight="1">
      <c r="E140" s="169"/>
    </row>
    <row r="141" ht="18.0" customHeight="1">
      <c r="E141" s="169"/>
    </row>
    <row r="142" ht="18.0" customHeight="1">
      <c r="E142" s="169"/>
    </row>
    <row r="143" ht="18.0" customHeight="1">
      <c r="E143" s="169"/>
    </row>
    <row r="144" ht="18.0" customHeight="1">
      <c r="E144" s="169"/>
    </row>
    <row r="145" ht="18.0" customHeight="1">
      <c r="E145" s="169"/>
    </row>
    <row r="146" ht="18.0" customHeight="1">
      <c r="E146" s="169"/>
    </row>
    <row r="147" ht="18.0" customHeight="1">
      <c r="E147" s="169"/>
    </row>
    <row r="148" ht="18.0" customHeight="1">
      <c r="E148" s="169"/>
    </row>
    <row r="149" ht="18.0" customHeight="1">
      <c r="E149" s="169"/>
    </row>
    <row r="150" ht="18.0" customHeight="1">
      <c r="E150" s="169"/>
    </row>
    <row r="151" ht="18.0" customHeight="1">
      <c r="E151" s="169"/>
    </row>
    <row r="152" ht="18.0" customHeight="1">
      <c r="E152" s="169"/>
    </row>
    <row r="153" ht="18.0" customHeight="1">
      <c r="E153" s="169"/>
    </row>
    <row r="154" ht="18.0" customHeight="1">
      <c r="E154" s="169"/>
    </row>
    <row r="155" ht="18.0" customHeight="1">
      <c r="E155" s="169"/>
    </row>
    <row r="156" ht="18.0" customHeight="1">
      <c r="E156" s="169"/>
    </row>
    <row r="157" ht="18.0" customHeight="1">
      <c r="E157" s="169"/>
    </row>
    <row r="158" ht="18.0" customHeight="1">
      <c r="E158" s="169"/>
    </row>
    <row r="159" ht="18.0" customHeight="1">
      <c r="E159" s="169"/>
    </row>
    <row r="160" ht="18.0" customHeight="1">
      <c r="E160" s="169"/>
    </row>
    <row r="161" ht="18.0" customHeight="1">
      <c r="E161" s="169"/>
    </row>
    <row r="162" ht="18.0" customHeight="1">
      <c r="E162" s="169"/>
    </row>
    <row r="163" ht="18.0" customHeight="1">
      <c r="E163" s="169"/>
    </row>
    <row r="164" ht="18.0" customHeight="1">
      <c r="E164" s="169"/>
    </row>
    <row r="165" ht="18.0" customHeight="1">
      <c r="E165" s="169"/>
    </row>
    <row r="166" ht="18.0" customHeight="1">
      <c r="E166" s="169"/>
    </row>
    <row r="167" ht="18.0" customHeight="1">
      <c r="E167" s="169"/>
    </row>
    <row r="168" ht="18.0" customHeight="1">
      <c r="E168" s="169"/>
    </row>
    <row r="169" ht="18.0" customHeight="1">
      <c r="E169" s="169"/>
    </row>
    <row r="170" ht="18.0" customHeight="1">
      <c r="E170" s="169"/>
    </row>
    <row r="171" ht="18.0" customHeight="1">
      <c r="E171" s="169"/>
    </row>
    <row r="172" ht="18.0" customHeight="1">
      <c r="E172" s="169"/>
    </row>
    <row r="173" ht="18.0" customHeight="1">
      <c r="E173" s="169"/>
    </row>
    <row r="174" ht="18.0" customHeight="1">
      <c r="E174" s="169"/>
    </row>
    <row r="175" ht="18.0" customHeight="1">
      <c r="E175" s="169"/>
    </row>
    <row r="176" ht="18.0" customHeight="1">
      <c r="E176" s="169"/>
    </row>
    <row r="177" ht="18.0" customHeight="1">
      <c r="E177" s="169"/>
    </row>
    <row r="178" ht="18.0" customHeight="1">
      <c r="E178" s="169"/>
    </row>
    <row r="179" ht="18.0" customHeight="1">
      <c r="E179" s="169"/>
    </row>
    <row r="180" ht="18.0" customHeight="1">
      <c r="E180" s="169"/>
    </row>
    <row r="181" ht="18.0" customHeight="1">
      <c r="E181" s="169"/>
    </row>
    <row r="182" ht="18.0" customHeight="1">
      <c r="E182" s="169"/>
    </row>
    <row r="183" ht="18.0" customHeight="1">
      <c r="E183" s="169"/>
    </row>
    <row r="184" ht="18.0" customHeight="1">
      <c r="E184" s="169"/>
    </row>
    <row r="185" ht="18.0" customHeight="1">
      <c r="E185" s="169"/>
    </row>
    <row r="186" ht="18.0" customHeight="1">
      <c r="E186" s="169"/>
    </row>
    <row r="187" ht="18.0" customHeight="1">
      <c r="E187" s="169"/>
    </row>
    <row r="188" ht="18.0" customHeight="1">
      <c r="E188" s="169"/>
    </row>
    <row r="189" ht="18.0" customHeight="1">
      <c r="E189" s="169"/>
    </row>
    <row r="190" ht="18.0" customHeight="1">
      <c r="E190" s="169"/>
    </row>
    <row r="191" ht="18.0" customHeight="1">
      <c r="E191" s="169"/>
    </row>
    <row r="192" ht="18.0" customHeight="1">
      <c r="E192" s="169"/>
    </row>
    <row r="193" ht="18.0" customHeight="1">
      <c r="E193" s="169"/>
    </row>
    <row r="194" ht="18.0" customHeight="1">
      <c r="E194" s="169"/>
    </row>
    <row r="195" ht="18.0" customHeight="1">
      <c r="E195" s="169"/>
    </row>
    <row r="196" ht="18.0" customHeight="1">
      <c r="E196" s="169"/>
    </row>
    <row r="197" ht="18.0" customHeight="1">
      <c r="E197" s="169"/>
    </row>
    <row r="198" ht="18.0" customHeight="1">
      <c r="E198" s="169"/>
    </row>
    <row r="199" ht="18.0" customHeight="1">
      <c r="E199" s="169"/>
    </row>
    <row r="200" ht="18.0" customHeight="1">
      <c r="E200" s="169"/>
    </row>
    <row r="201" ht="18.0" customHeight="1">
      <c r="E201" s="169"/>
    </row>
    <row r="202" ht="18.0" customHeight="1">
      <c r="E202" s="169"/>
    </row>
    <row r="203" ht="18.0" customHeight="1">
      <c r="E203" s="169"/>
    </row>
    <row r="204" ht="18.0" customHeight="1">
      <c r="E204" s="169"/>
    </row>
    <row r="205" ht="18.0" customHeight="1">
      <c r="E205" s="169"/>
    </row>
    <row r="206" ht="18.0" customHeight="1">
      <c r="E206" s="169"/>
    </row>
    <row r="207" ht="18.0" customHeight="1">
      <c r="E207" s="169"/>
    </row>
    <row r="208" ht="18.0" customHeight="1">
      <c r="E208" s="169"/>
    </row>
    <row r="209" ht="18.0" customHeight="1">
      <c r="E209" s="169"/>
    </row>
    <row r="210" ht="18.0" customHeight="1">
      <c r="E210" s="169"/>
    </row>
    <row r="211" ht="18.0" customHeight="1">
      <c r="E211" s="169"/>
    </row>
    <row r="212" ht="18.0" customHeight="1">
      <c r="E212" s="169"/>
    </row>
    <row r="213" ht="18.0" customHeight="1">
      <c r="E213" s="169"/>
    </row>
    <row r="214" ht="18.0" customHeight="1">
      <c r="E214" s="169"/>
    </row>
    <row r="215" ht="18.0" customHeight="1">
      <c r="E215" s="169"/>
    </row>
    <row r="216" ht="18.0" customHeight="1">
      <c r="E216" s="169"/>
    </row>
    <row r="217" ht="18.0" customHeight="1">
      <c r="E217" s="169"/>
    </row>
    <row r="218" ht="18.0" customHeight="1">
      <c r="E218" s="169"/>
    </row>
    <row r="219" ht="18.0" customHeight="1">
      <c r="E219" s="169"/>
    </row>
    <row r="220" ht="18.0" customHeight="1">
      <c r="E220" s="169"/>
    </row>
    <row r="221" ht="18.0" customHeight="1">
      <c r="E221" s="169"/>
    </row>
    <row r="222" ht="18.0" customHeight="1">
      <c r="E222" s="169"/>
    </row>
    <row r="223" ht="18.0" customHeight="1">
      <c r="E223" s="169"/>
    </row>
    <row r="224" ht="18.0" customHeight="1">
      <c r="E224" s="169"/>
    </row>
    <row r="225" ht="18.0" customHeight="1">
      <c r="E225" s="169"/>
    </row>
    <row r="226" ht="18.0" customHeight="1">
      <c r="E226" s="169"/>
    </row>
    <row r="227" ht="18.0" customHeight="1">
      <c r="E227" s="169"/>
    </row>
    <row r="228" ht="18.0" customHeight="1">
      <c r="E228" s="169"/>
    </row>
    <row r="229" ht="18.0" customHeight="1">
      <c r="E229" s="169"/>
    </row>
    <row r="230" ht="18.0" customHeight="1">
      <c r="E230" s="169"/>
    </row>
    <row r="231" ht="18.0" customHeight="1">
      <c r="E231" s="169"/>
    </row>
    <row r="232" ht="18.0" customHeight="1">
      <c r="E232" s="169"/>
    </row>
    <row r="233" ht="18.0" customHeight="1">
      <c r="E233" s="169"/>
    </row>
    <row r="234" ht="18.0" customHeight="1">
      <c r="E234" s="169"/>
    </row>
    <row r="235" ht="18.0" customHeight="1">
      <c r="E235" s="169"/>
    </row>
    <row r="236" ht="18.0" customHeight="1">
      <c r="E236" s="169"/>
    </row>
    <row r="237" ht="18.0" customHeight="1">
      <c r="E237" s="169"/>
    </row>
    <row r="238" ht="18.0" customHeight="1">
      <c r="E238" s="169"/>
    </row>
    <row r="239" ht="18.0" customHeight="1">
      <c r="E239" s="169"/>
    </row>
    <row r="240" ht="18.0" customHeight="1">
      <c r="E240" s="169"/>
    </row>
    <row r="241" ht="18.0" customHeight="1">
      <c r="E241" s="169"/>
    </row>
    <row r="242" ht="18.0" customHeight="1">
      <c r="E242" s="169"/>
    </row>
    <row r="243" ht="18.0" customHeight="1">
      <c r="E243" s="169"/>
    </row>
    <row r="244" ht="18.0" customHeight="1">
      <c r="E244" s="169"/>
    </row>
    <row r="245" ht="18.0" customHeight="1">
      <c r="E245" s="169"/>
    </row>
    <row r="246" ht="18.0" customHeight="1">
      <c r="E246" s="169"/>
    </row>
    <row r="247" ht="18.0" customHeight="1">
      <c r="E247" s="169"/>
    </row>
    <row r="248" ht="18.0" customHeight="1">
      <c r="E248" s="169"/>
    </row>
    <row r="249" ht="18.0" customHeight="1">
      <c r="E249" s="169"/>
    </row>
    <row r="250" ht="18.0" customHeight="1">
      <c r="E250" s="169"/>
    </row>
    <row r="251" ht="18.0" customHeight="1">
      <c r="E251" s="169"/>
    </row>
    <row r="252" ht="18.0" customHeight="1">
      <c r="E252" s="169"/>
    </row>
    <row r="253" ht="18.0" customHeight="1">
      <c r="E253" s="169"/>
    </row>
    <row r="254" ht="18.0" customHeight="1">
      <c r="E254" s="169"/>
    </row>
    <row r="255" ht="18.0" customHeight="1">
      <c r="E255" s="169"/>
    </row>
    <row r="256" ht="18.0" customHeight="1">
      <c r="E256" s="169"/>
    </row>
    <row r="257" ht="18.0" customHeight="1">
      <c r="E257" s="169"/>
    </row>
    <row r="258" ht="18.0" customHeight="1">
      <c r="E258" s="169"/>
    </row>
    <row r="259" ht="18.0" customHeight="1">
      <c r="E259" s="169"/>
    </row>
    <row r="260" ht="18.0" customHeight="1">
      <c r="E260" s="169"/>
    </row>
    <row r="261" ht="18.0" customHeight="1">
      <c r="E261" s="169"/>
    </row>
    <row r="262" ht="18.0" customHeight="1">
      <c r="E262" s="169"/>
    </row>
    <row r="263" ht="18.0" customHeight="1">
      <c r="E263" s="169"/>
    </row>
    <row r="264" ht="18.0" customHeight="1">
      <c r="E264" s="169"/>
    </row>
    <row r="265" ht="18.0" customHeight="1">
      <c r="E265" s="169"/>
    </row>
    <row r="266" ht="18.0" customHeight="1">
      <c r="E266" s="169"/>
    </row>
    <row r="267" ht="18.0" customHeight="1">
      <c r="E267" s="169"/>
    </row>
    <row r="268" ht="18.0" customHeight="1">
      <c r="E268" s="169"/>
    </row>
    <row r="269" ht="18.0" customHeight="1">
      <c r="E269" s="169"/>
    </row>
    <row r="270" ht="18.0" customHeight="1">
      <c r="E270" s="169"/>
    </row>
    <row r="271" ht="18.0" customHeight="1">
      <c r="E271" s="169"/>
    </row>
    <row r="272" ht="18.0" customHeight="1">
      <c r="E272" s="169"/>
    </row>
    <row r="273" ht="18.0" customHeight="1">
      <c r="E273" s="169"/>
    </row>
    <row r="274" ht="18.0" customHeight="1">
      <c r="E274" s="169"/>
    </row>
    <row r="275" ht="18.0" customHeight="1">
      <c r="E275" s="169"/>
    </row>
    <row r="276" ht="18.0" customHeight="1">
      <c r="E276" s="169"/>
    </row>
    <row r="277" ht="18.0" customHeight="1">
      <c r="E277" s="169"/>
    </row>
    <row r="278" ht="18.0" customHeight="1">
      <c r="E278" s="169"/>
    </row>
    <row r="279" ht="18.0" customHeight="1">
      <c r="E279" s="169"/>
    </row>
    <row r="280" ht="18.0" customHeight="1">
      <c r="E280" s="169"/>
    </row>
    <row r="281" ht="18.0" customHeight="1">
      <c r="E281" s="169"/>
    </row>
    <row r="282" ht="18.0" customHeight="1">
      <c r="E282" s="169"/>
    </row>
    <row r="283" ht="18.0" customHeight="1">
      <c r="E283" s="169"/>
    </row>
    <row r="284" ht="18.0" customHeight="1">
      <c r="E284" s="169"/>
    </row>
    <row r="285" ht="18.0" customHeight="1">
      <c r="E285" s="169"/>
    </row>
    <row r="286" ht="18.0" customHeight="1">
      <c r="E286" s="169"/>
    </row>
    <row r="287" ht="18.0" customHeight="1">
      <c r="E287" s="169"/>
    </row>
    <row r="288" ht="18.0" customHeight="1">
      <c r="E288" s="169"/>
    </row>
    <row r="289" ht="18.0" customHeight="1">
      <c r="E289" s="169"/>
    </row>
    <row r="290" ht="18.0" customHeight="1">
      <c r="E290" s="169"/>
    </row>
    <row r="291" ht="18.0" customHeight="1">
      <c r="E291" s="169"/>
    </row>
    <row r="292" ht="18.0" customHeight="1">
      <c r="E292" s="169"/>
    </row>
    <row r="293" ht="18.0" customHeight="1">
      <c r="E293" s="169"/>
    </row>
    <row r="294" ht="18.0" customHeight="1">
      <c r="E294" s="169"/>
    </row>
    <row r="295" ht="18.0" customHeight="1">
      <c r="E295" s="169"/>
    </row>
    <row r="296" ht="18.0" customHeight="1">
      <c r="E296" s="169"/>
    </row>
    <row r="297" ht="18.0" customHeight="1">
      <c r="E297" s="169"/>
    </row>
    <row r="298" ht="18.0" customHeight="1">
      <c r="E298" s="169"/>
    </row>
    <row r="299" ht="18.0" customHeight="1">
      <c r="E299" s="169"/>
    </row>
    <row r="300" ht="18.0" customHeight="1">
      <c r="E300" s="169"/>
    </row>
    <row r="301" ht="18.0" customHeight="1">
      <c r="E301" s="169"/>
    </row>
    <row r="302" ht="18.0" customHeight="1">
      <c r="E302" s="169"/>
    </row>
    <row r="303" ht="18.0" customHeight="1">
      <c r="E303" s="169"/>
    </row>
    <row r="304" ht="18.0" customHeight="1">
      <c r="E304" s="169"/>
    </row>
    <row r="305" ht="18.0" customHeight="1">
      <c r="E305" s="169"/>
    </row>
    <row r="306" ht="18.0" customHeight="1">
      <c r="E306" s="169"/>
    </row>
    <row r="307" ht="18.0" customHeight="1">
      <c r="E307" s="169"/>
    </row>
    <row r="308" ht="18.0" customHeight="1">
      <c r="E308" s="169"/>
    </row>
    <row r="309" ht="18.0" customHeight="1">
      <c r="E309" s="169"/>
    </row>
    <row r="310" ht="18.0" customHeight="1">
      <c r="E310" s="169"/>
    </row>
    <row r="311" ht="18.0" customHeight="1">
      <c r="E311" s="169"/>
    </row>
    <row r="312" ht="18.0" customHeight="1">
      <c r="E312" s="169"/>
    </row>
    <row r="313" ht="18.0" customHeight="1">
      <c r="E313" s="169"/>
    </row>
    <row r="314" ht="18.0" customHeight="1">
      <c r="E314" s="169"/>
    </row>
    <row r="315" ht="18.0" customHeight="1">
      <c r="E315" s="169"/>
    </row>
    <row r="316" ht="18.0" customHeight="1">
      <c r="E316" s="169"/>
    </row>
    <row r="317" ht="18.0" customHeight="1">
      <c r="E317" s="169"/>
    </row>
    <row r="318" ht="18.0" customHeight="1">
      <c r="E318" s="169"/>
    </row>
    <row r="319" ht="18.0" customHeight="1">
      <c r="E319" s="169"/>
    </row>
    <row r="320" ht="18.0" customHeight="1">
      <c r="E320" s="169"/>
    </row>
    <row r="321" ht="18.0" customHeight="1">
      <c r="E321" s="169"/>
    </row>
    <row r="322" ht="18.0" customHeight="1">
      <c r="E322" s="169"/>
    </row>
    <row r="323" ht="18.0" customHeight="1">
      <c r="E323" s="169"/>
    </row>
    <row r="324" ht="18.0" customHeight="1">
      <c r="E324" s="169"/>
    </row>
    <row r="325" ht="18.0" customHeight="1">
      <c r="E325" s="169"/>
    </row>
    <row r="326" ht="18.0" customHeight="1">
      <c r="E326" s="169"/>
    </row>
    <row r="327" ht="18.0" customHeight="1">
      <c r="E327" s="169"/>
    </row>
    <row r="328" ht="18.0" customHeight="1">
      <c r="E328" s="169"/>
    </row>
    <row r="329" ht="18.0" customHeight="1">
      <c r="E329" s="169"/>
    </row>
    <row r="330" ht="18.0" customHeight="1">
      <c r="E330" s="169"/>
    </row>
    <row r="331" ht="18.0" customHeight="1">
      <c r="E331" s="169"/>
    </row>
    <row r="332" ht="18.0" customHeight="1">
      <c r="E332" s="169"/>
    </row>
    <row r="333" ht="18.0" customHeight="1">
      <c r="E333" s="169"/>
    </row>
    <row r="334" ht="18.0" customHeight="1">
      <c r="E334" s="169"/>
    </row>
    <row r="335" ht="18.0" customHeight="1">
      <c r="E335" s="169"/>
    </row>
    <row r="336" ht="18.0" customHeight="1">
      <c r="E336" s="169"/>
    </row>
    <row r="337" ht="18.0" customHeight="1">
      <c r="E337" s="169"/>
    </row>
    <row r="338" ht="18.0" customHeight="1">
      <c r="E338" s="169"/>
    </row>
    <row r="339" ht="18.0" customHeight="1">
      <c r="E339" s="169"/>
    </row>
    <row r="340" ht="18.0" customHeight="1">
      <c r="E340" s="169"/>
    </row>
    <row r="341" ht="18.0" customHeight="1">
      <c r="E341" s="169"/>
    </row>
    <row r="342" ht="18.0" customHeight="1">
      <c r="E342" s="169"/>
    </row>
    <row r="343" ht="18.0" customHeight="1">
      <c r="E343" s="169"/>
    </row>
    <row r="344" ht="18.0" customHeight="1">
      <c r="E344" s="169"/>
    </row>
    <row r="345" ht="18.0" customHeight="1">
      <c r="E345" s="169"/>
    </row>
    <row r="346" ht="18.0" customHeight="1">
      <c r="E346" s="169"/>
    </row>
    <row r="347" ht="18.0" customHeight="1">
      <c r="E347" s="169"/>
    </row>
    <row r="348" ht="18.0" customHeight="1">
      <c r="E348" s="169"/>
    </row>
    <row r="349" ht="18.0" customHeight="1">
      <c r="E349" s="169"/>
    </row>
    <row r="350" ht="18.0" customHeight="1">
      <c r="E350" s="169"/>
    </row>
    <row r="351" ht="18.0" customHeight="1">
      <c r="E351" s="169"/>
    </row>
    <row r="352" ht="18.0" customHeight="1">
      <c r="E352" s="169"/>
    </row>
    <row r="353" ht="18.0" customHeight="1">
      <c r="E353" s="169"/>
    </row>
    <row r="354" ht="18.0" customHeight="1">
      <c r="E354" s="169"/>
    </row>
    <row r="355" ht="18.0" customHeight="1">
      <c r="E355" s="169"/>
    </row>
    <row r="356" ht="18.0" customHeight="1">
      <c r="E356" s="169"/>
    </row>
    <row r="357" ht="18.0" customHeight="1">
      <c r="E357" s="169"/>
    </row>
    <row r="358" ht="18.0" customHeight="1">
      <c r="E358" s="169"/>
    </row>
    <row r="359" ht="18.0" customHeight="1">
      <c r="E359" s="169"/>
    </row>
    <row r="360" ht="18.0" customHeight="1">
      <c r="E360" s="169"/>
    </row>
    <row r="361" ht="18.0" customHeight="1">
      <c r="E361" s="169"/>
    </row>
    <row r="362" ht="18.0" customHeight="1">
      <c r="E362" s="169"/>
    </row>
    <row r="363" ht="18.0" customHeight="1">
      <c r="E363" s="169"/>
    </row>
    <row r="364" ht="18.0" customHeight="1">
      <c r="E364" s="169"/>
    </row>
    <row r="365" ht="18.0" customHeight="1">
      <c r="E365" s="169"/>
    </row>
    <row r="366" ht="18.0" customHeight="1">
      <c r="E366" s="169"/>
    </row>
    <row r="367" ht="18.0" customHeight="1">
      <c r="E367" s="169"/>
    </row>
    <row r="368" ht="18.0" customHeight="1">
      <c r="E368" s="169"/>
    </row>
    <row r="369" ht="18.0" customHeight="1">
      <c r="E369" s="169"/>
    </row>
    <row r="370" ht="18.0" customHeight="1">
      <c r="E370" s="169"/>
    </row>
    <row r="371" ht="18.0" customHeight="1">
      <c r="E371" s="169"/>
    </row>
    <row r="372" ht="18.0" customHeight="1">
      <c r="E372" s="169"/>
    </row>
    <row r="373" ht="18.0" customHeight="1">
      <c r="E373" s="169"/>
    </row>
    <row r="374" ht="18.0" customHeight="1">
      <c r="E374" s="169"/>
    </row>
    <row r="375" ht="18.0" customHeight="1">
      <c r="E375" s="169"/>
    </row>
    <row r="376" ht="18.0" customHeight="1">
      <c r="E376" s="169"/>
    </row>
    <row r="377" ht="18.0" customHeight="1">
      <c r="E377" s="169"/>
    </row>
    <row r="378" ht="18.0" customHeight="1">
      <c r="E378" s="169"/>
    </row>
    <row r="379" ht="18.0" customHeight="1">
      <c r="E379" s="169"/>
    </row>
    <row r="380" ht="18.0" customHeight="1">
      <c r="E380" s="169"/>
    </row>
    <row r="381" ht="18.0" customHeight="1">
      <c r="E381" s="169"/>
    </row>
    <row r="382" ht="18.0" customHeight="1">
      <c r="E382" s="169"/>
    </row>
    <row r="383" ht="18.0" customHeight="1">
      <c r="E383" s="169"/>
    </row>
    <row r="384" ht="18.0" customHeight="1">
      <c r="E384" s="169"/>
    </row>
    <row r="385" ht="18.0" customHeight="1">
      <c r="E385" s="169"/>
    </row>
    <row r="386" ht="18.0" customHeight="1">
      <c r="E386" s="169"/>
    </row>
    <row r="387" ht="18.0" customHeight="1">
      <c r="E387" s="169"/>
    </row>
    <row r="388" ht="18.0" customHeight="1">
      <c r="E388" s="169"/>
    </row>
    <row r="389" ht="18.0" customHeight="1">
      <c r="E389" s="169"/>
    </row>
    <row r="390" ht="18.0" customHeight="1">
      <c r="E390" s="169"/>
    </row>
    <row r="391" ht="18.0" customHeight="1">
      <c r="E391" s="169"/>
    </row>
    <row r="392" ht="18.0" customHeight="1">
      <c r="E392" s="169"/>
    </row>
    <row r="393" ht="18.0" customHeight="1">
      <c r="E393" s="169"/>
    </row>
    <row r="394" ht="18.0" customHeight="1">
      <c r="E394" s="169"/>
    </row>
    <row r="395" ht="18.0" customHeight="1">
      <c r="E395" s="169"/>
    </row>
    <row r="396" ht="18.0" customHeight="1">
      <c r="E396" s="169"/>
    </row>
    <row r="397" ht="18.0" customHeight="1">
      <c r="E397" s="169"/>
    </row>
    <row r="398" ht="18.0" customHeight="1">
      <c r="E398" s="169"/>
    </row>
    <row r="399" ht="18.0" customHeight="1">
      <c r="E399" s="169"/>
    </row>
    <row r="400" ht="18.0" customHeight="1">
      <c r="E400" s="169"/>
    </row>
    <row r="401" ht="18.0" customHeight="1">
      <c r="E401" s="169"/>
    </row>
    <row r="402" ht="18.0" customHeight="1">
      <c r="E402" s="169"/>
    </row>
    <row r="403" ht="18.0" customHeight="1">
      <c r="E403" s="169"/>
    </row>
    <row r="404" ht="18.0" customHeight="1">
      <c r="E404" s="169"/>
    </row>
    <row r="405" ht="18.0" customHeight="1">
      <c r="E405" s="169"/>
    </row>
    <row r="406" ht="18.0" customHeight="1">
      <c r="E406" s="169"/>
    </row>
    <row r="407" ht="18.0" customHeight="1">
      <c r="E407" s="169"/>
    </row>
    <row r="408" ht="18.0" customHeight="1">
      <c r="E408" s="169"/>
    </row>
    <row r="409" ht="18.0" customHeight="1">
      <c r="E409" s="169"/>
    </row>
    <row r="410" ht="18.0" customHeight="1">
      <c r="E410" s="169"/>
    </row>
    <row r="411" ht="18.0" customHeight="1">
      <c r="E411" s="169"/>
    </row>
    <row r="412" ht="18.0" customHeight="1">
      <c r="E412" s="169"/>
    </row>
    <row r="413" ht="18.0" customHeight="1">
      <c r="E413" s="169"/>
    </row>
    <row r="414" ht="18.0" customHeight="1">
      <c r="E414" s="169"/>
    </row>
    <row r="415" ht="18.0" customHeight="1">
      <c r="E415" s="169"/>
    </row>
    <row r="416" ht="18.0" customHeight="1">
      <c r="E416" s="169"/>
    </row>
    <row r="417" ht="18.0" customHeight="1">
      <c r="E417" s="169"/>
    </row>
    <row r="418" ht="18.0" customHeight="1">
      <c r="E418" s="169"/>
    </row>
    <row r="419" ht="18.0" customHeight="1">
      <c r="E419" s="169"/>
    </row>
    <row r="420" ht="18.0" customHeight="1">
      <c r="E420" s="169"/>
    </row>
    <row r="421" ht="18.0" customHeight="1">
      <c r="E421" s="169"/>
    </row>
    <row r="422" ht="18.0" customHeight="1">
      <c r="E422" s="169"/>
    </row>
    <row r="423" ht="18.0" customHeight="1">
      <c r="E423" s="169"/>
    </row>
    <row r="424" ht="18.0" customHeight="1">
      <c r="E424" s="169"/>
    </row>
    <row r="425" ht="18.0" customHeight="1">
      <c r="E425" s="169"/>
    </row>
    <row r="426" ht="18.0" customHeight="1">
      <c r="E426" s="169"/>
    </row>
    <row r="427" ht="18.0" customHeight="1">
      <c r="E427" s="169"/>
    </row>
    <row r="428" ht="18.0" customHeight="1">
      <c r="E428" s="169"/>
    </row>
    <row r="429" ht="18.0" customHeight="1">
      <c r="E429" s="169"/>
    </row>
    <row r="430" ht="18.0" customHeight="1">
      <c r="E430" s="169"/>
    </row>
    <row r="431" ht="18.0" customHeight="1">
      <c r="E431" s="169"/>
    </row>
    <row r="432" ht="18.0" customHeight="1">
      <c r="E432" s="169"/>
    </row>
    <row r="433" ht="18.0" customHeight="1">
      <c r="E433" s="169"/>
    </row>
    <row r="434" ht="18.0" customHeight="1">
      <c r="E434" s="169"/>
    </row>
    <row r="435" ht="18.0" customHeight="1">
      <c r="E435" s="169"/>
    </row>
    <row r="436" ht="18.0" customHeight="1">
      <c r="E436" s="169"/>
    </row>
    <row r="437" ht="18.0" customHeight="1">
      <c r="E437" s="169"/>
    </row>
    <row r="438" ht="18.0" customHeight="1">
      <c r="E438" s="169"/>
    </row>
    <row r="439" ht="18.0" customHeight="1">
      <c r="E439" s="169"/>
    </row>
    <row r="440" ht="18.0" customHeight="1">
      <c r="E440" s="169"/>
    </row>
    <row r="441" ht="18.0" customHeight="1">
      <c r="E441" s="169"/>
    </row>
    <row r="442" ht="18.0" customHeight="1">
      <c r="E442" s="169"/>
    </row>
    <row r="443" ht="18.0" customHeight="1">
      <c r="E443" s="169"/>
    </row>
    <row r="444" ht="18.0" customHeight="1">
      <c r="E444" s="169"/>
    </row>
    <row r="445" ht="18.0" customHeight="1">
      <c r="E445" s="169"/>
    </row>
    <row r="446" ht="18.0" customHeight="1">
      <c r="E446" s="169"/>
    </row>
    <row r="447" ht="18.0" customHeight="1">
      <c r="E447" s="169"/>
    </row>
    <row r="448" ht="18.0" customHeight="1">
      <c r="E448" s="169"/>
    </row>
    <row r="449" ht="18.0" customHeight="1">
      <c r="E449" s="169"/>
    </row>
    <row r="450" ht="18.0" customHeight="1">
      <c r="E450" s="169"/>
    </row>
    <row r="451" ht="18.0" customHeight="1">
      <c r="E451" s="169"/>
    </row>
    <row r="452" ht="18.0" customHeight="1">
      <c r="E452" s="169"/>
    </row>
    <row r="453" ht="18.0" customHeight="1">
      <c r="E453" s="169"/>
    </row>
    <row r="454" ht="18.0" customHeight="1">
      <c r="E454" s="169"/>
    </row>
    <row r="455" ht="18.0" customHeight="1">
      <c r="E455" s="169"/>
    </row>
    <row r="456" ht="18.0" customHeight="1">
      <c r="E456" s="169"/>
    </row>
    <row r="457" ht="18.0" customHeight="1">
      <c r="E457" s="169"/>
    </row>
    <row r="458" ht="18.0" customHeight="1">
      <c r="E458" s="169"/>
    </row>
    <row r="459" ht="18.0" customHeight="1">
      <c r="E459" s="169"/>
    </row>
    <row r="460" ht="18.0" customHeight="1">
      <c r="E460" s="169"/>
    </row>
    <row r="461" ht="18.0" customHeight="1">
      <c r="E461" s="169"/>
    </row>
    <row r="462" ht="18.0" customHeight="1">
      <c r="E462" s="169"/>
    </row>
    <row r="463" ht="18.0" customHeight="1">
      <c r="E463" s="169"/>
    </row>
    <row r="464" ht="18.0" customHeight="1">
      <c r="E464" s="169"/>
    </row>
    <row r="465" ht="18.0" customHeight="1">
      <c r="E465" s="169"/>
    </row>
    <row r="466" ht="18.0" customHeight="1">
      <c r="E466" s="169"/>
    </row>
    <row r="467" ht="18.0" customHeight="1">
      <c r="E467" s="169"/>
    </row>
    <row r="468" ht="18.0" customHeight="1">
      <c r="E468" s="169"/>
    </row>
    <row r="469" ht="18.0" customHeight="1">
      <c r="E469" s="169"/>
    </row>
    <row r="470" ht="18.0" customHeight="1">
      <c r="E470" s="169"/>
    </row>
    <row r="471" ht="18.0" customHeight="1">
      <c r="E471" s="169"/>
    </row>
    <row r="472" ht="18.0" customHeight="1">
      <c r="E472" s="169"/>
    </row>
    <row r="473" ht="18.0" customHeight="1">
      <c r="E473" s="169"/>
    </row>
    <row r="474" ht="18.0" customHeight="1">
      <c r="E474" s="169"/>
    </row>
    <row r="475" ht="18.0" customHeight="1">
      <c r="E475" s="169"/>
    </row>
    <row r="476" ht="18.0" customHeight="1">
      <c r="E476" s="169"/>
    </row>
    <row r="477" ht="18.0" customHeight="1">
      <c r="E477" s="169"/>
    </row>
    <row r="478" ht="18.0" customHeight="1">
      <c r="E478" s="169"/>
    </row>
    <row r="479" ht="18.0" customHeight="1">
      <c r="E479" s="169"/>
    </row>
    <row r="480" ht="18.0" customHeight="1">
      <c r="E480" s="169"/>
    </row>
    <row r="481" ht="18.0" customHeight="1">
      <c r="E481" s="169"/>
    </row>
    <row r="482" ht="18.0" customHeight="1">
      <c r="E482" s="169"/>
    </row>
    <row r="483" ht="18.0" customHeight="1">
      <c r="E483" s="169"/>
    </row>
    <row r="484" ht="18.0" customHeight="1">
      <c r="E484" s="169"/>
    </row>
    <row r="485" ht="18.0" customHeight="1">
      <c r="E485" s="169"/>
    </row>
    <row r="486" ht="18.0" customHeight="1">
      <c r="E486" s="169"/>
    </row>
    <row r="487" ht="18.0" customHeight="1">
      <c r="E487" s="169"/>
    </row>
    <row r="488" ht="18.0" customHeight="1">
      <c r="E488" s="169"/>
    </row>
    <row r="489" ht="18.0" customHeight="1">
      <c r="E489" s="169"/>
    </row>
    <row r="490" ht="18.0" customHeight="1">
      <c r="E490" s="169"/>
    </row>
    <row r="491" ht="18.0" customHeight="1">
      <c r="E491" s="169"/>
    </row>
    <row r="492" ht="18.0" customHeight="1">
      <c r="E492" s="169"/>
    </row>
    <row r="493" ht="18.0" customHeight="1">
      <c r="E493" s="169"/>
    </row>
    <row r="494" ht="18.0" customHeight="1">
      <c r="E494" s="169"/>
    </row>
    <row r="495" ht="18.0" customHeight="1">
      <c r="E495" s="169"/>
    </row>
    <row r="496" ht="18.0" customHeight="1">
      <c r="E496" s="169"/>
    </row>
    <row r="497" ht="18.0" customHeight="1">
      <c r="E497" s="169"/>
    </row>
    <row r="498" ht="18.0" customHeight="1">
      <c r="E498" s="169"/>
    </row>
    <row r="499" ht="18.0" customHeight="1">
      <c r="E499" s="169"/>
    </row>
    <row r="500" ht="18.0" customHeight="1">
      <c r="E500" s="169"/>
    </row>
    <row r="501" ht="18.0" customHeight="1">
      <c r="E501" s="169"/>
    </row>
    <row r="502" ht="18.0" customHeight="1">
      <c r="E502" s="169"/>
    </row>
    <row r="503" ht="18.0" customHeight="1">
      <c r="E503" s="169"/>
    </row>
    <row r="504" ht="18.0" customHeight="1">
      <c r="E504" s="169"/>
    </row>
    <row r="505" ht="18.0" customHeight="1">
      <c r="E505" s="169"/>
    </row>
    <row r="506" ht="18.0" customHeight="1">
      <c r="E506" s="169"/>
    </row>
    <row r="507" ht="18.0" customHeight="1">
      <c r="E507" s="169"/>
    </row>
    <row r="508" ht="18.0" customHeight="1">
      <c r="E508" s="169"/>
    </row>
    <row r="509" ht="18.0" customHeight="1">
      <c r="E509" s="169"/>
    </row>
    <row r="510" ht="18.0" customHeight="1">
      <c r="E510" s="169"/>
    </row>
    <row r="511" ht="18.0" customHeight="1">
      <c r="E511" s="169"/>
    </row>
    <row r="512" ht="18.0" customHeight="1">
      <c r="E512" s="169"/>
    </row>
    <row r="513" ht="18.0" customHeight="1">
      <c r="E513" s="169"/>
    </row>
    <row r="514" ht="18.0" customHeight="1">
      <c r="E514" s="169"/>
    </row>
    <row r="515" ht="18.0" customHeight="1">
      <c r="E515" s="169"/>
    </row>
    <row r="516" ht="18.0" customHeight="1">
      <c r="E516" s="169"/>
    </row>
    <row r="517" ht="18.0" customHeight="1">
      <c r="E517" s="169"/>
    </row>
    <row r="518" ht="18.0" customHeight="1">
      <c r="E518" s="169"/>
    </row>
    <row r="519" ht="18.0" customHeight="1">
      <c r="E519" s="169"/>
    </row>
    <row r="520" ht="18.0" customHeight="1">
      <c r="E520" s="169"/>
    </row>
    <row r="521" ht="18.0" customHeight="1">
      <c r="E521" s="169"/>
    </row>
    <row r="522" ht="18.0" customHeight="1">
      <c r="E522" s="169"/>
    </row>
    <row r="523" ht="18.0" customHeight="1">
      <c r="E523" s="169"/>
    </row>
    <row r="524" ht="18.0" customHeight="1">
      <c r="E524" s="169"/>
    </row>
    <row r="525" ht="18.0" customHeight="1">
      <c r="E525" s="169"/>
    </row>
    <row r="526" ht="18.0" customHeight="1">
      <c r="E526" s="169"/>
    </row>
    <row r="527" ht="18.0" customHeight="1">
      <c r="E527" s="169"/>
    </row>
    <row r="528" ht="18.0" customHeight="1">
      <c r="E528" s="169"/>
    </row>
    <row r="529" ht="18.0" customHeight="1">
      <c r="E529" s="169"/>
    </row>
    <row r="530" ht="18.0" customHeight="1">
      <c r="E530" s="169"/>
    </row>
    <row r="531" ht="18.0" customHeight="1">
      <c r="E531" s="169"/>
    </row>
    <row r="532" ht="18.0" customHeight="1">
      <c r="E532" s="169"/>
    </row>
    <row r="533" ht="18.0" customHeight="1">
      <c r="E533" s="169"/>
    </row>
    <row r="534" ht="18.0" customHeight="1">
      <c r="E534" s="169"/>
    </row>
    <row r="535" ht="18.0" customHeight="1">
      <c r="E535" s="169"/>
    </row>
    <row r="536" ht="18.0" customHeight="1">
      <c r="E536" s="169"/>
    </row>
    <row r="537" ht="18.0" customHeight="1">
      <c r="E537" s="169"/>
    </row>
    <row r="538" ht="18.0" customHeight="1">
      <c r="E538" s="169"/>
    </row>
    <row r="539" ht="18.0" customHeight="1">
      <c r="E539" s="169"/>
    </row>
    <row r="540" ht="18.0" customHeight="1">
      <c r="E540" s="169"/>
    </row>
    <row r="541" ht="18.0" customHeight="1">
      <c r="E541" s="169"/>
    </row>
    <row r="542" ht="18.0" customHeight="1">
      <c r="E542" s="169"/>
    </row>
    <row r="543" ht="18.0" customHeight="1">
      <c r="E543" s="169"/>
    </row>
    <row r="544" ht="18.0" customHeight="1">
      <c r="E544" s="169"/>
    </row>
    <row r="545" ht="18.0" customHeight="1">
      <c r="E545" s="169"/>
    </row>
    <row r="546" ht="18.0" customHeight="1">
      <c r="E546" s="169"/>
    </row>
    <row r="547" ht="18.0" customHeight="1">
      <c r="E547" s="169"/>
    </row>
    <row r="548" ht="18.0" customHeight="1">
      <c r="E548" s="169"/>
    </row>
    <row r="549" ht="18.0" customHeight="1">
      <c r="E549" s="169"/>
    </row>
    <row r="550" ht="18.0" customHeight="1">
      <c r="E550" s="169"/>
    </row>
    <row r="551" ht="18.0" customHeight="1">
      <c r="E551" s="169"/>
    </row>
    <row r="552" ht="18.0" customHeight="1">
      <c r="E552" s="169"/>
    </row>
    <row r="553" ht="18.0" customHeight="1">
      <c r="E553" s="169"/>
    </row>
    <row r="554" ht="18.0" customHeight="1">
      <c r="E554" s="169"/>
    </row>
    <row r="555" ht="18.0" customHeight="1">
      <c r="E555" s="169"/>
    </row>
    <row r="556" ht="18.0" customHeight="1">
      <c r="E556" s="169"/>
    </row>
    <row r="557" ht="18.0" customHeight="1">
      <c r="E557" s="169"/>
    </row>
    <row r="558" ht="18.0" customHeight="1">
      <c r="E558" s="169"/>
    </row>
    <row r="559" ht="18.0" customHeight="1">
      <c r="E559" s="169"/>
    </row>
    <row r="560" ht="18.0" customHeight="1">
      <c r="E560" s="169"/>
    </row>
    <row r="561" ht="18.0" customHeight="1">
      <c r="E561" s="169"/>
    </row>
    <row r="562" ht="18.0" customHeight="1">
      <c r="E562" s="169"/>
    </row>
    <row r="563" ht="18.0" customHeight="1">
      <c r="E563" s="169"/>
    </row>
    <row r="564" ht="18.0" customHeight="1">
      <c r="E564" s="169"/>
    </row>
    <row r="565" ht="18.0" customHeight="1">
      <c r="E565" s="169"/>
    </row>
    <row r="566" ht="18.0" customHeight="1">
      <c r="E566" s="169"/>
    </row>
    <row r="567" ht="18.0" customHeight="1">
      <c r="E567" s="169"/>
    </row>
    <row r="568" ht="18.0" customHeight="1">
      <c r="E568" s="169"/>
    </row>
    <row r="569" ht="18.0" customHeight="1">
      <c r="E569" s="169"/>
    </row>
    <row r="570" ht="18.0" customHeight="1">
      <c r="E570" s="169"/>
    </row>
    <row r="571" ht="18.0" customHeight="1">
      <c r="E571" s="169"/>
    </row>
    <row r="572" ht="18.0" customHeight="1">
      <c r="E572" s="169"/>
    </row>
    <row r="573" ht="18.0" customHeight="1">
      <c r="E573" s="169"/>
    </row>
    <row r="574" ht="18.0" customHeight="1">
      <c r="E574" s="169"/>
    </row>
    <row r="575" ht="18.0" customHeight="1">
      <c r="E575" s="169"/>
    </row>
    <row r="576" ht="18.0" customHeight="1">
      <c r="E576" s="169"/>
    </row>
    <row r="577" ht="18.0" customHeight="1">
      <c r="E577" s="169"/>
    </row>
    <row r="578" ht="18.0" customHeight="1">
      <c r="E578" s="169"/>
    </row>
    <row r="579" ht="18.0" customHeight="1">
      <c r="E579" s="169"/>
    </row>
    <row r="580" ht="18.0" customHeight="1">
      <c r="E580" s="169"/>
    </row>
    <row r="581" ht="18.0" customHeight="1">
      <c r="E581" s="169"/>
    </row>
    <row r="582" ht="18.0" customHeight="1">
      <c r="E582" s="169"/>
    </row>
    <row r="583" ht="18.0" customHeight="1">
      <c r="E583" s="169"/>
    </row>
    <row r="584" ht="18.0" customHeight="1">
      <c r="E584" s="169"/>
    </row>
    <row r="585" ht="18.0" customHeight="1">
      <c r="E585" s="169"/>
    </row>
    <row r="586" ht="18.0" customHeight="1">
      <c r="E586" s="169"/>
    </row>
    <row r="587" ht="18.0" customHeight="1">
      <c r="E587" s="169"/>
    </row>
    <row r="588" ht="18.0" customHeight="1">
      <c r="E588" s="169"/>
    </row>
    <row r="589" ht="18.0" customHeight="1">
      <c r="E589" s="169"/>
    </row>
    <row r="590" ht="18.0" customHeight="1">
      <c r="E590" s="169"/>
    </row>
    <row r="591" ht="18.0" customHeight="1">
      <c r="E591" s="169"/>
    </row>
    <row r="592" ht="18.0" customHeight="1">
      <c r="E592" s="169"/>
    </row>
    <row r="593" ht="18.0" customHeight="1">
      <c r="E593" s="169"/>
    </row>
    <row r="594" ht="18.0" customHeight="1">
      <c r="E594" s="169"/>
    </row>
    <row r="595" ht="18.0" customHeight="1">
      <c r="E595" s="169"/>
    </row>
    <row r="596" ht="18.0" customHeight="1">
      <c r="E596" s="169"/>
    </row>
    <row r="597" ht="18.0" customHeight="1">
      <c r="E597" s="169"/>
    </row>
    <row r="598" ht="18.0" customHeight="1">
      <c r="E598" s="169"/>
    </row>
    <row r="599" ht="18.0" customHeight="1">
      <c r="E599" s="169"/>
    </row>
    <row r="600" ht="18.0" customHeight="1">
      <c r="E600" s="169"/>
    </row>
    <row r="601" ht="18.0" customHeight="1">
      <c r="E601" s="169"/>
    </row>
    <row r="602" ht="18.0" customHeight="1">
      <c r="E602" s="169"/>
    </row>
    <row r="603" ht="18.0" customHeight="1">
      <c r="E603" s="169"/>
    </row>
    <row r="604" ht="18.0" customHeight="1">
      <c r="E604" s="169"/>
    </row>
    <row r="605" ht="18.0" customHeight="1">
      <c r="E605" s="169"/>
    </row>
    <row r="606" ht="18.0" customHeight="1">
      <c r="E606" s="169"/>
    </row>
    <row r="607" ht="18.0" customHeight="1">
      <c r="E607" s="169"/>
    </row>
    <row r="608" ht="18.0" customHeight="1">
      <c r="E608" s="169"/>
    </row>
    <row r="609" ht="18.0" customHeight="1">
      <c r="E609" s="169"/>
    </row>
    <row r="610" ht="18.0" customHeight="1">
      <c r="E610" s="169"/>
    </row>
    <row r="611" ht="18.0" customHeight="1">
      <c r="E611" s="169"/>
    </row>
    <row r="612" ht="18.0" customHeight="1">
      <c r="E612" s="169"/>
    </row>
    <row r="613" ht="18.0" customHeight="1">
      <c r="E613" s="169"/>
    </row>
    <row r="614" ht="18.0" customHeight="1">
      <c r="E614" s="169"/>
    </row>
    <row r="615" ht="18.0" customHeight="1">
      <c r="E615" s="169"/>
    </row>
    <row r="616" ht="18.0" customHeight="1">
      <c r="E616" s="169"/>
    </row>
    <row r="617" ht="18.0" customHeight="1">
      <c r="E617" s="169"/>
    </row>
    <row r="618" ht="18.0" customHeight="1">
      <c r="E618" s="169"/>
    </row>
    <row r="619" ht="18.0" customHeight="1">
      <c r="E619" s="169"/>
    </row>
    <row r="620" ht="18.0" customHeight="1">
      <c r="E620" s="169"/>
    </row>
    <row r="621" ht="18.0" customHeight="1">
      <c r="E621" s="169"/>
    </row>
    <row r="622" ht="18.0" customHeight="1">
      <c r="E622" s="169"/>
    </row>
    <row r="623" ht="18.0" customHeight="1">
      <c r="E623" s="169"/>
    </row>
    <row r="624" ht="18.0" customHeight="1">
      <c r="E624" s="169"/>
    </row>
    <row r="625" ht="18.0" customHeight="1">
      <c r="E625" s="169"/>
    </row>
    <row r="626" ht="18.0" customHeight="1">
      <c r="E626" s="169"/>
    </row>
    <row r="627" ht="18.0" customHeight="1">
      <c r="E627" s="169"/>
    </row>
    <row r="628" ht="18.0" customHeight="1">
      <c r="E628" s="169"/>
    </row>
    <row r="629" ht="18.0" customHeight="1">
      <c r="E629" s="169"/>
    </row>
    <row r="630" ht="18.0" customHeight="1">
      <c r="E630" s="169"/>
    </row>
    <row r="631" ht="18.0" customHeight="1">
      <c r="E631" s="169"/>
    </row>
    <row r="632" ht="18.0" customHeight="1">
      <c r="E632" s="169"/>
    </row>
    <row r="633" ht="18.0" customHeight="1">
      <c r="E633" s="169"/>
    </row>
    <row r="634" ht="18.0" customHeight="1">
      <c r="E634" s="169"/>
    </row>
    <row r="635" ht="18.0" customHeight="1">
      <c r="E635" s="169"/>
    </row>
    <row r="636" ht="18.0" customHeight="1">
      <c r="E636" s="169"/>
    </row>
    <row r="637" ht="18.0" customHeight="1">
      <c r="E637" s="169"/>
    </row>
    <row r="638" ht="18.0" customHeight="1">
      <c r="E638" s="169"/>
    </row>
    <row r="639" ht="18.0" customHeight="1">
      <c r="E639" s="169"/>
    </row>
    <row r="640" ht="18.0" customHeight="1">
      <c r="E640" s="169"/>
    </row>
    <row r="641" ht="18.0" customHeight="1">
      <c r="E641" s="169"/>
    </row>
    <row r="642" ht="18.0" customHeight="1">
      <c r="E642" s="169"/>
    </row>
    <row r="643" ht="18.0" customHeight="1">
      <c r="E643" s="169"/>
    </row>
    <row r="644" ht="18.0" customHeight="1">
      <c r="E644" s="169"/>
    </row>
    <row r="645" ht="18.0" customHeight="1">
      <c r="E645" s="169"/>
    </row>
    <row r="646" ht="18.0" customHeight="1">
      <c r="E646" s="169"/>
    </row>
    <row r="647" ht="18.0" customHeight="1">
      <c r="E647" s="169"/>
    </row>
    <row r="648" ht="18.0" customHeight="1">
      <c r="E648" s="169"/>
    </row>
    <row r="649" ht="18.0" customHeight="1">
      <c r="E649" s="169"/>
    </row>
    <row r="650" ht="18.0" customHeight="1">
      <c r="E650" s="169"/>
    </row>
    <row r="651" ht="18.0" customHeight="1">
      <c r="E651" s="169"/>
    </row>
    <row r="652" ht="18.0" customHeight="1">
      <c r="E652" s="169"/>
    </row>
    <row r="653" ht="18.0" customHeight="1">
      <c r="E653" s="169"/>
    </row>
    <row r="654" ht="18.0" customHeight="1">
      <c r="E654" s="169"/>
    </row>
    <row r="655" ht="18.0" customHeight="1">
      <c r="E655" s="169"/>
    </row>
    <row r="656" ht="18.0" customHeight="1">
      <c r="E656" s="169"/>
    </row>
    <row r="657" ht="18.0" customHeight="1">
      <c r="E657" s="169"/>
    </row>
    <row r="658" ht="18.0" customHeight="1">
      <c r="E658" s="169"/>
    </row>
    <row r="659" ht="18.0" customHeight="1">
      <c r="E659" s="169"/>
    </row>
    <row r="660" ht="18.0" customHeight="1">
      <c r="E660" s="169"/>
    </row>
    <row r="661" ht="18.0" customHeight="1">
      <c r="E661" s="169"/>
    </row>
    <row r="662" ht="18.0" customHeight="1">
      <c r="E662" s="169"/>
    </row>
    <row r="663" ht="18.0" customHeight="1">
      <c r="E663" s="169"/>
    </row>
    <row r="664" ht="18.0" customHeight="1">
      <c r="E664" s="169"/>
    </row>
    <row r="665" ht="18.0" customHeight="1">
      <c r="E665" s="169"/>
    </row>
    <row r="666" ht="18.0" customHeight="1">
      <c r="E666" s="169"/>
    </row>
    <row r="667" ht="18.0" customHeight="1">
      <c r="E667" s="169"/>
    </row>
    <row r="668" ht="18.0" customHeight="1">
      <c r="E668" s="169"/>
    </row>
    <row r="669" ht="18.0" customHeight="1">
      <c r="E669" s="169"/>
    </row>
    <row r="670" ht="18.0" customHeight="1">
      <c r="E670" s="169"/>
    </row>
    <row r="671" ht="18.0" customHeight="1">
      <c r="E671" s="169"/>
    </row>
    <row r="672" ht="18.0" customHeight="1">
      <c r="E672" s="169"/>
    </row>
    <row r="673" ht="18.0" customHeight="1">
      <c r="E673" s="169"/>
    </row>
    <row r="674" ht="18.0" customHeight="1">
      <c r="E674" s="169"/>
    </row>
    <row r="675" ht="18.0" customHeight="1">
      <c r="E675" s="169"/>
    </row>
    <row r="676" ht="18.0" customHeight="1">
      <c r="E676" s="169"/>
    </row>
    <row r="677" ht="18.0" customHeight="1">
      <c r="E677" s="169"/>
    </row>
    <row r="678" ht="18.0" customHeight="1">
      <c r="E678" s="169"/>
    </row>
    <row r="679" ht="18.0" customHeight="1">
      <c r="E679" s="169"/>
    </row>
    <row r="680" ht="18.0" customHeight="1">
      <c r="E680" s="169"/>
    </row>
    <row r="681" ht="18.0" customHeight="1">
      <c r="E681" s="169"/>
    </row>
    <row r="682" ht="18.0" customHeight="1">
      <c r="E682" s="169"/>
    </row>
    <row r="683" ht="18.0" customHeight="1">
      <c r="E683" s="169"/>
    </row>
    <row r="684" ht="18.0" customHeight="1">
      <c r="E684" s="169"/>
    </row>
    <row r="685" ht="18.0" customHeight="1">
      <c r="E685" s="169"/>
    </row>
    <row r="686" ht="18.0" customHeight="1">
      <c r="E686" s="169"/>
    </row>
    <row r="687" ht="18.0" customHeight="1">
      <c r="E687" s="169"/>
    </row>
    <row r="688" ht="18.0" customHeight="1">
      <c r="E688" s="169"/>
    </row>
    <row r="689" ht="18.0" customHeight="1">
      <c r="E689" s="169"/>
    </row>
    <row r="690" ht="18.0" customHeight="1">
      <c r="E690" s="169"/>
    </row>
    <row r="691" ht="18.0" customHeight="1">
      <c r="E691" s="169"/>
    </row>
    <row r="692" ht="18.0" customHeight="1">
      <c r="E692" s="169"/>
    </row>
    <row r="693" ht="18.0" customHeight="1">
      <c r="E693" s="169"/>
    </row>
    <row r="694" ht="18.0" customHeight="1">
      <c r="E694" s="169"/>
    </row>
    <row r="695" ht="18.0" customHeight="1">
      <c r="E695" s="169"/>
    </row>
    <row r="696" ht="18.0" customHeight="1">
      <c r="E696" s="169"/>
    </row>
    <row r="697" ht="18.0" customHeight="1">
      <c r="E697" s="169"/>
    </row>
    <row r="698" ht="18.0" customHeight="1">
      <c r="E698" s="169"/>
    </row>
    <row r="699" ht="18.0" customHeight="1">
      <c r="E699" s="169"/>
    </row>
    <row r="700" ht="18.0" customHeight="1">
      <c r="E700" s="169"/>
    </row>
    <row r="701" ht="18.0" customHeight="1">
      <c r="E701" s="169"/>
    </row>
    <row r="702" ht="18.0" customHeight="1">
      <c r="E702" s="169"/>
    </row>
    <row r="703" ht="18.0" customHeight="1">
      <c r="E703" s="169"/>
    </row>
    <row r="704" ht="18.0" customHeight="1">
      <c r="E704" s="169"/>
    </row>
    <row r="705" ht="18.0" customHeight="1">
      <c r="E705" s="169"/>
    </row>
    <row r="706" ht="18.0" customHeight="1">
      <c r="E706" s="169"/>
    </row>
    <row r="707" ht="18.0" customHeight="1">
      <c r="E707" s="169"/>
    </row>
    <row r="708" ht="18.0" customHeight="1">
      <c r="E708" s="169"/>
    </row>
    <row r="709" ht="18.0" customHeight="1">
      <c r="E709" s="169"/>
    </row>
    <row r="710" ht="18.0" customHeight="1">
      <c r="E710" s="169"/>
    </row>
    <row r="711" ht="18.0" customHeight="1">
      <c r="E711" s="169"/>
    </row>
    <row r="712" ht="18.0" customHeight="1">
      <c r="E712" s="169"/>
    </row>
    <row r="713" ht="18.0" customHeight="1">
      <c r="E713" s="169"/>
    </row>
    <row r="714" ht="18.0" customHeight="1">
      <c r="E714" s="169"/>
    </row>
    <row r="715" ht="18.0" customHeight="1">
      <c r="E715" s="169"/>
    </row>
    <row r="716" ht="18.0" customHeight="1">
      <c r="E716" s="169"/>
    </row>
    <row r="717" ht="18.0" customHeight="1">
      <c r="E717" s="169"/>
    </row>
    <row r="718" ht="18.0" customHeight="1">
      <c r="E718" s="169"/>
    </row>
    <row r="719" ht="18.0" customHeight="1">
      <c r="E719" s="169"/>
    </row>
    <row r="720" ht="18.0" customHeight="1">
      <c r="E720" s="169"/>
    </row>
    <row r="721" ht="18.0" customHeight="1">
      <c r="E721" s="169"/>
    </row>
    <row r="722" ht="18.0" customHeight="1">
      <c r="E722" s="169"/>
    </row>
    <row r="723" ht="18.0" customHeight="1">
      <c r="E723" s="169"/>
    </row>
    <row r="724" ht="18.0" customHeight="1">
      <c r="E724" s="169"/>
    </row>
    <row r="725" ht="18.0" customHeight="1">
      <c r="E725" s="169"/>
    </row>
    <row r="726" ht="18.0" customHeight="1">
      <c r="E726" s="169"/>
    </row>
    <row r="727" ht="18.0" customHeight="1">
      <c r="E727" s="169"/>
    </row>
    <row r="728" ht="18.0" customHeight="1">
      <c r="E728" s="169"/>
    </row>
    <row r="729" ht="18.0" customHeight="1">
      <c r="E729" s="169"/>
    </row>
    <row r="730" ht="18.0" customHeight="1">
      <c r="E730" s="169"/>
    </row>
    <row r="731" ht="18.0" customHeight="1">
      <c r="E731" s="169"/>
    </row>
    <row r="732" ht="18.0" customHeight="1">
      <c r="E732" s="169"/>
    </row>
    <row r="733" ht="18.0" customHeight="1">
      <c r="E733" s="169"/>
    </row>
    <row r="734" ht="18.0" customHeight="1">
      <c r="E734" s="169"/>
    </row>
    <row r="735" ht="18.0" customHeight="1">
      <c r="E735" s="169"/>
    </row>
    <row r="736" ht="18.0" customHeight="1">
      <c r="E736" s="169"/>
    </row>
    <row r="737" ht="18.0" customHeight="1">
      <c r="E737" s="169"/>
    </row>
    <row r="738" ht="18.0" customHeight="1">
      <c r="E738" s="169"/>
    </row>
    <row r="739" ht="18.0" customHeight="1">
      <c r="E739" s="169"/>
    </row>
    <row r="740" ht="18.0" customHeight="1">
      <c r="E740" s="169"/>
    </row>
    <row r="741" ht="18.0" customHeight="1">
      <c r="E741" s="169"/>
    </row>
    <row r="742" ht="18.0" customHeight="1">
      <c r="E742" s="169"/>
    </row>
    <row r="743" ht="18.0" customHeight="1">
      <c r="E743" s="169"/>
    </row>
    <row r="744" ht="18.0" customHeight="1">
      <c r="E744" s="169"/>
    </row>
    <row r="745" ht="18.0" customHeight="1">
      <c r="E745" s="169"/>
    </row>
    <row r="746" ht="18.0" customHeight="1">
      <c r="E746" s="169"/>
    </row>
    <row r="747" ht="18.0" customHeight="1">
      <c r="E747" s="169"/>
    </row>
    <row r="748" ht="18.0" customHeight="1">
      <c r="E748" s="169"/>
    </row>
    <row r="749" ht="18.0" customHeight="1">
      <c r="E749" s="169"/>
    </row>
    <row r="750" ht="18.0" customHeight="1">
      <c r="E750" s="169"/>
    </row>
    <row r="751" ht="18.0" customHeight="1">
      <c r="E751" s="169"/>
    </row>
    <row r="752" ht="18.0" customHeight="1">
      <c r="E752" s="169"/>
    </row>
    <row r="753" ht="18.0" customHeight="1">
      <c r="E753" s="169"/>
    </row>
    <row r="754" ht="18.0" customHeight="1">
      <c r="E754" s="169"/>
    </row>
    <row r="755" ht="18.0" customHeight="1">
      <c r="E755" s="169"/>
    </row>
    <row r="756" ht="18.0" customHeight="1">
      <c r="E756" s="169"/>
    </row>
    <row r="757" ht="18.0" customHeight="1">
      <c r="E757" s="169"/>
    </row>
    <row r="758" ht="18.0" customHeight="1">
      <c r="E758" s="169"/>
    </row>
    <row r="759" ht="18.0" customHeight="1">
      <c r="E759" s="169"/>
    </row>
    <row r="760" ht="18.0" customHeight="1">
      <c r="E760" s="169"/>
    </row>
    <row r="761" ht="18.0" customHeight="1">
      <c r="E761" s="169"/>
    </row>
    <row r="762" ht="18.0" customHeight="1">
      <c r="E762" s="169"/>
    </row>
    <row r="763" ht="18.0" customHeight="1">
      <c r="E763" s="169"/>
    </row>
    <row r="764" ht="18.0" customHeight="1">
      <c r="E764" s="169"/>
    </row>
    <row r="765" ht="18.0" customHeight="1">
      <c r="E765" s="169"/>
    </row>
    <row r="766" ht="18.0" customHeight="1">
      <c r="E766" s="169"/>
    </row>
    <row r="767" ht="18.0" customHeight="1">
      <c r="E767" s="169"/>
    </row>
    <row r="768" ht="18.0" customHeight="1">
      <c r="E768" s="169"/>
    </row>
    <row r="769" ht="18.0" customHeight="1">
      <c r="E769" s="169"/>
    </row>
    <row r="770" ht="18.0" customHeight="1">
      <c r="E770" s="169"/>
    </row>
    <row r="771" ht="18.0" customHeight="1">
      <c r="E771" s="169"/>
    </row>
    <row r="772" ht="18.0" customHeight="1">
      <c r="E772" s="169"/>
    </row>
    <row r="773" ht="18.0" customHeight="1">
      <c r="E773" s="169"/>
    </row>
    <row r="774" ht="18.0" customHeight="1">
      <c r="E774" s="169"/>
    </row>
    <row r="775" ht="18.0" customHeight="1">
      <c r="E775" s="169"/>
    </row>
    <row r="776" ht="18.0" customHeight="1">
      <c r="E776" s="169"/>
    </row>
    <row r="777" ht="18.0" customHeight="1">
      <c r="E777" s="169"/>
    </row>
    <row r="778" ht="18.0" customHeight="1">
      <c r="E778" s="169"/>
    </row>
    <row r="779" ht="18.0" customHeight="1">
      <c r="E779" s="169"/>
    </row>
    <row r="780" ht="18.0" customHeight="1">
      <c r="E780" s="169"/>
    </row>
    <row r="781" ht="18.0" customHeight="1">
      <c r="E781" s="169"/>
    </row>
    <row r="782" ht="18.0" customHeight="1">
      <c r="E782" s="169"/>
    </row>
    <row r="783" ht="18.0" customHeight="1">
      <c r="E783" s="169"/>
    </row>
    <row r="784" ht="18.0" customHeight="1">
      <c r="E784" s="169"/>
    </row>
    <row r="785" ht="18.0" customHeight="1">
      <c r="E785" s="169"/>
    </row>
    <row r="786" ht="18.0" customHeight="1">
      <c r="E786" s="169"/>
    </row>
    <row r="787" ht="18.0" customHeight="1">
      <c r="E787" s="169"/>
    </row>
    <row r="788" ht="18.0" customHeight="1">
      <c r="E788" s="169"/>
    </row>
    <row r="789" ht="18.0" customHeight="1">
      <c r="E789" s="169"/>
    </row>
    <row r="790" ht="18.0" customHeight="1">
      <c r="E790" s="169"/>
    </row>
    <row r="791" ht="18.0" customHeight="1">
      <c r="E791" s="169"/>
    </row>
    <row r="792" ht="18.0" customHeight="1">
      <c r="E792" s="169"/>
    </row>
    <row r="793" ht="18.0" customHeight="1">
      <c r="E793" s="169"/>
    </row>
    <row r="794" ht="18.0" customHeight="1">
      <c r="E794" s="169"/>
    </row>
    <row r="795" ht="18.0" customHeight="1">
      <c r="E795" s="169"/>
    </row>
    <row r="796" ht="18.0" customHeight="1">
      <c r="E796" s="169"/>
    </row>
    <row r="797" ht="18.0" customHeight="1">
      <c r="E797" s="169"/>
    </row>
    <row r="798" ht="18.0" customHeight="1">
      <c r="E798" s="169"/>
    </row>
    <row r="799" ht="18.0" customHeight="1">
      <c r="E799" s="169"/>
    </row>
    <row r="800" ht="18.0" customHeight="1">
      <c r="E800" s="169"/>
    </row>
    <row r="801" ht="18.0" customHeight="1">
      <c r="E801" s="169"/>
    </row>
    <row r="802" ht="18.0" customHeight="1">
      <c r="E802" s="169"/>
    </row>
    <row r="803" ht="18.0" customHeight="1">
      <c r="E803" s="169"/>
    </row>
    <row r="804" ht="18.0" customHeight="1">
      <c r="E804" s="169"/>
    </row>
    <row r="805" ht="18.0" customHeight="1">
      <c r="E805" s="169"/>
    </row>
    <row r="806" ht="18.0" customHeight="1">
      <c r="E806" s="169"/>
    </row>
    <row r="807" ht="18.0" customHeight="1">
      <c r="E807" s="169"/>
    </row>
    <row r="808" ht="18.0" customHeight="1">
      <c r="E808" s="169"/>
    </row>
    <row r="809" ht="18.0" customHeight="1">
      <c r="E809" s="169"/>
    </row>
    <row r="810" ht="18.0" customHeight="1">
      <c r="E810" s="169"/>
    </row>
    <row r="811" ht="18.0" customHeight="1">
      <c r="E811" s="169"/>
    </row>
    <row r="812" ht="18.0" customHeight="1">
      <c r="E812" s="169"/>
    </row>
    <row r="813" ht="18.0" customHeight="1">
      <c r="E813" s="169"/>
    </row>
    <row r="814" ht="18.0" customHeight="1">
      <c r="E814" s="169"/>
    </row>
    <row r="815" ht="18.0" customHeight="1">
      <c r="E815" s="169"/>
    </row>
    <row r="816" ht="18.0" customHeight="1">
      <c r="E816" s="169"/>
    </row>
    <row r="817" ht="18.0" customHeight="1">
      <c r="E817" s="169"/>
    </row>
    <row r="818" ht="18.0" customHeight="1">
      <c r="E818" s="169"/>
    </row>
    <row r="819" ht="18.0" customHeight="1">
      <c r="E819" s="169"/>
    </row>
    <row r="820" ht="18.0" customHeight="1">
      <c r="E820" s="169"/>
    </row>
    <row r="821" ht="18.0" customHeight="1">
      <c r="E821" s="169"/>
    </row>
    <row r="822" ht="18.0" customHeight="1">
      <c r="E822" s="169"/>
    </row>
    <row r="823" ht="18.0" customHeight="1">
      <c r="E823" s="169"/>
    </row>
    <row r="824" ht="18.0" customHeight="1">
      <c r="E824" s="169"/>
    </row>
    <row r="825" ht="18.0" customHeight="1">
      <c r="E825" s="169"/>
    </row>
    <row r="826" ht="18.0" customHeight="1">
      <c r="E826" s="169"/>
    </row>
    <row r="827" ht="18.0" customHeight="1">
      <c r="E827" s="169"/>
    </row>
    <row r="828" ht="18.0" customHeight="1">
      <c r="E828" s="169"/>
    </row>
    <row r="829" ht="18.0" customHeight="1">
      <c r="E829" s="169"/>
    </row>
    <row r="830" ht="18.0" customHeight="1">
      <c r="E830" s="169"/>
    </row>
    <row r="831" ht="18.0" customHeight="1">
      <c r="E831" s="169"/>
    </row>
    <row r="832" ht="18.0" customHeight="1">
      <c r="E832" s="169"/>
    </row>
    <row r="833" ht="18.0" customHeight="1">
      <c r="E833" s="169"/>
    </row>
    <row r="834" ht="18.0" customHeight="1">
      <c r="E834" s="169"/>
    </row>
    <row r="835" ht="18.0" customHeight="1">
      <c r="E835" s="169"/>
    </row>
    <row r="836" ht="18.0" customHeight="1">
      <c r="E836" s="169"/>
    </row>
    <row r="837" ht="18.0" customHeight="1">
      <c r="E837" s="169"/>
    </row>
    <row r="838" ht="18.0" customHeight="1">
      <c r="E838" s="169"/>
    </row>
    <row r="839" ht="18.0" customHeight="1">
      <c r="E839" s="169"/>
    </row>
    <row r="840" ht="18.0" customHeight="1">
      <c r="E840" s="169"/>
    </row>
    <row r="841" ht="18.0" customHeight="1">
      <c r="E841" s="169"/>
    </row>
    <row r="842" ht="18.0" customHeight="1">
      <c r="E842" s="169"/>
    </row>
    <row r="843" ht="18.0" customHeight="1">
      <c r="E843" s="169"/>
    </row>
    <row r="844" ht="18.0" customHeight="1">
      <c r="E844" s="169"/>
    </row>
    <row r="845" ht="18.0" customHeight="1">
      <c r="E845" s="169"/>
    </row>
    <row r="846" ht="18.0" customHeight="1">
      <c r="E846" s="169"/>
    </row>
    <row r="847" ht="18.0" customHeight="1">
      <c r="E847" s="169"/>
    </row>
    <row r="848" ht="18.0" customHeight="1">
      <c r="E848" s="169"/>
    </row>
    <row r="849" ht="18.0" customHeight="1">
      <c r="E849" s="169"/>
    </row>
    <row r="850" ht="18.0" customHeight="1">
      <c r="E850" s="169"/>
    </row>
    <row r="851" ht="18.0" customHeight="1">
      <c r="E851" s="169"/>
    </row>
    <row r="852" ht="18.0" customHeight="1">
      <c r="E852" s="169"/>
    </row>
    <row r="853" ht="18.0" customHeight="1">
      <c r="E853" s="169"/>
    </row>
    <row r="854" ht="18.0" customHeight="1">
      <c r="E854" s="169"/>
    </row>
    <row r="855" ht="18.0" customHeight="1">
      <c r="E855" s="169"/>
    </row>
    <row r="856" ht="18.0" customHeight="1">
      <c r="E856" s="169"/>
    </row>
    <row r="857" ht="18.0" customHeight="1">
      <c r="E857" s="169"/>
    </row>
    <row r="858" ht="18.0" customHeight="1">
      <c r="E858" s="169"/>
    </row>
    <row r="859" ht="18.0" customHeight="1">
      <c r="E859" s="169"/>
    </row>
    <row r="860" ht="18.0" customHeight="1">
      <c r="E860" s="169"/>
    </row>
    <row r="861" ht="18.0" customHeight="1">
      <c r="E861" s="169"/>
    </row>
    <row r="862" ht="18.0" customHeight="1">
      <c r="E862" s="169"/>
    </row>
    <row r="863" ht="18.0" customHeight="1">
      <c r="E863" s="169"/>
    </row>
    <row r="864" ht="18.0" customHeight="1">
      <c r="E864" s="169"/>
    </row>
    <row r="865" ht="18.0" customHeight="1">
      <c r="E865" s="169"/>
    </row>
    <row r="866" ht="18.0" customHeight="1">
      <c r="E866" s="169"/>
    </row>
    <row r="867" ht="18.0" customHeight="1">
      <c r="E867" s="169"/>
    </row>
    <row r="868" ht="18.0" customHeight="1">
      <c r="E868" s="169"/>
    </row>
    <row r="869" ht="18.0" customHeight="1">
      <c r="E869" s="169"/>
    </row>
    <row r="870" ht="18.0" customHeight="1">
      <c r="E870" s="169"/>
    </row>
    <row r="871" ht="18.0" customHeight="1">
      <c r="E871" s="169"/>
    </row>
    <row r="872" ht="18.0" customHeight="1">
      <c r="E872" s="169"/>
    </row>
    <row r="873" ht="18.0" customHeight="1">
      <c r="E873" s="169"/>
    </row>
    <row r="874" ht="18.0" customHeight="1">
      <c r="E874" s="169"/>
    </row>
    <row r="875" ht="18.0" customHeight="1">
      <c r="E875" s="169"/>
    </row>
    <row r="876" ht="18.0" customHeight="1">
      <c r="E876" s="169"/>
    </row>
    <row r="877" ht="18.0" customHeight="1">
      <c r="E877" s="169"/>
    </row>
    <row r="878" ht="18.0" customHeight="1">
      <c r="E878" s="169"/>
    </row>
    <row r="879" ht="18.0" customHeight="1">
      <c r="E879" s="169"/>
    </row>
    <row r="880" ht="18.0" customHeight="1">
      <c r="E880" s="169"/>
    </row>
    <row r="881" ht="18.0" customHeight="1">
      <c r="E881" s="169"/>
    </row>
    <row r="882" ht="18.0" customHeight="1">
      <c r="E882" s="169"/>
    </row>
    <row r="883" ht="18.0" customHeight="1">
      <c r="E883" s="169"/>
    </row>
    <row r="884" ht="18.0" customHeight="1">
      <c r="E884" s="169"/>
    </row>
    <row r="885" ht="18.0" customHeight="1">
      <c r="E885" s="169"/>
    </row>
    <row r="886" ht="18.0" customHeight="1">
      <c r="E886" s="169"/>
    </row>
    <row r="887" ht="18.0" customHeight="1">
      <c r="E887" s="169"/>
    </row>
    <row r="888" ht="18.0" customHeight="1">
      <c r="E888" s="169"/>
    </row>
    <row r="889" ht="18.0" customHeight="1">
      <c r="E889" s="169"/>
    </row>
    <row r="890" ht="18.0" customHeight="1">
      <c r="E890" s="169"/>
    </row>
    <row r="891" ht="18.0" customHeight="1">
      <c r="E891" s="169"/>
    </row>
    <row r="892" ht="18.0" customHeight="1">
      <c r="E892" s="169"/>
    </row>
    <row r="893" ht="18.0" customHeight="1">
      <c r="E893" s="169"/>
    </row>
    <row r="894" ht="18.0" customHeight="1">
      <c r="E894" s="169"/>
    </row>
    <row r="895" ht="18.0" customHeight="1">
      <c r="E895" s="169"/>
    </row>
    <row r="896" ht="18.0" customHeight="1">
      <c r="E896" s="169"/>
    </row>
    <row r="897" ht="18.0" customHeight="1">
      <c r="E897" s="169"/>
    </row>
    <row r="898" ht="18.0" customHeight="1">
      <c r="E898" s="169"/>
    </row>
    <row r="899" ht="18.0" customHeight="1">
      <c r="E899" s="169"/>
    </row>
    <row r="900" ht="18.0" customHeight="1">
      <c r="E900" s="169"/>
    </row>
    <row r="901" ht="18.0" customHeight="1">
      <c r="E901" s="169"/>
    </row>
    <row r="902" ht="18.0" customHeight="1">
      <c r="E902" s="169"/>
    </row>
    <row r="903" ht="18.0" customHeight="1">
      <c r="E903" s="169"/>
    </row>
    <row r="904" ht="18.0" customHeight="1">
      <c r="E904" s="169"/>
    </row>
    <row r="905" ht="18.0" customHeight="1">
      <c r="E905" s="169"/>
    </row>
    <row r="906" ht="18.0" customHeight="1">
      <c r="E906" s="169"/>
    </row>
    <row r="907" ht="18.0" customHeight="1">
      <c r="E907" s="169"/>
    </row>
    <row r="908" ht="18.0" customHeight="1">
      <c r="E908" s="169"/>
    </row>
    <row r="909" ht="18.0" customHeight="1">
      <c r="E909" s="169"/>
    </row>
    <row r="910" ht="18.0" customHeight="1">
      <c r="E910" s="169"/>
    </row>
    <row r="911" ht="18.0" customHeight="1">
      <c r="E911" s="169"/>
    </row>
    <row r="912" ht="18.0" customHeight="1">
      <c r="E912" s="169"/>
    </row>
    <row r="913" ht="18.0" customHeight="1">
      <c r="E913" s="169"/>
    </row>
    <row r="914" ht="18.0" customHeight="1">
      <c r="E914" s="169"/>
    </row>
    <row r="915" ht="18.0" customHeight="1">
      <c r="E915" s="169"/>
    </row>
    <row r="916" ht="18.0" customHeight="1">
      <c r="E916" s="169"/>
    </row>
    <row r="917" ht="18.0" customHeight="1">
      <c r="E917" s="169"/>
    </row>
    <row r="918" ht="18.0" customHeight="1">
      <c r="E918" s="169"/>
    </row>
    <row r="919" ht="18.0" customHeight="1">
      <c r="E919" s="169"/>
    </row>
    <row r="920" ht="18.0" customHeight="1">
      <c r="E920" s="169"/>
    </row>
    <row r="921" ht="18.0" customHeight="1">
      <c r="E921" s="169"/>
    </row>
    <row r="922" ht="18.0" customHeight="1">
      <c r="E922" s="169"/>
    </row>
    <row r="923" ht="18.0" customHeight="1">
      <c r="E923" s="169"/>
    </row>
    <row r="924" ht="18.0" customHeight="1">
      <c r="E924" s="169"/>
    </row>
    <row r="925" ht="18.0" customHeight="1">
      <c r="E925" s="169"/>
    </row>
    <row r="926" ht="18.0" customHeight="1">
      <c r="E926" s="169"/>
    </row>
    <row r="927" ht="18.0" customHeight="1">
      <c r="E927" s="169"/>
    </row>
    <row r="928" ht="18.0" customHeight="1">
      <c r="E928" s="169"/>
    </row>
    <row r="929" ht="18.0" customHeight="1">
      <c r="E929" s="169"/>
    </row>
    <row r="930" ht="18.0" customHeight="1">
      <c r="E930" s="169"/>
    </row>
    <row r="931" ht="18.0" customHeight="1">
      <c r="E931" s="169"/>
    </row>
    <row r="932" ht="18.0" customHeight="1">
      <c r="E932" s="169"/>
    </row>
    <row r="933" ht="18.0" customHeight="1">
      <c r="E933" s="169"/>
    </row>
    <row r="934" ht="18.0" customHeight="1">
      <c r="E934" s="169"/>
    </row>
    <row r="935" ht="18.0" customHeight="1">
      <c r="E935" s="169"/>
    </row>
    <row r="936" ht="18.0" customHeight="1">
      <c r="E936" s="169"/>
    </row>
    <row r="937" ht="18.0" customHeight="1">
      <c r="E937" s="169"/>
    </row>
    <row r="938" ht="18.0" customHeight="1">
      <c r="E938" s="169"/>
    </row>
    <row r="939" ht="18.0" customHeight="1">
      <c r="E939" s="169"/>
    </row>
    <row r="940" ht="18.0" customHeight="1">
      <c r="E940" s="169"/>
    </row>
    <row r="941" ht="18.0" customHeight="1">
      <c r="E941" s="169"/>
    </row>
    <row r="942" ht="18.0" customHeight="1">
      <c r="E942" s="169"/>
    </row>
    <row r="943" ht="18.0" customHeight="1">
      <c r="E943" s="169"/>
    </row>
    <row r="944" ht="18.0" customHeight="1">
      <c r="E944" s="169"/>
    </row>
    <row r="945" ht="18.0" customHeight="1">
      <c r="E945" s="169"/>
    </row>
    <row r="946" ht="18.0" customHeight="1">
      <c r="E946" s="169"/>
    </row>
    <row r="947" ht="18.0" customHeight="1">
      <c r="E947" s="169"/>
    </row>
    <row r="948" ht="18.0" customHeight="1">
      <c r="E948" s="169"/>
    </row>
    <row r="949" ht="18.0" customHeight="1">
      <c r="E949" s="169"/>
    </row>
    <row r="950" ht="18.0" customHeight="1">
      <c r="E950" s="169"/>
    </row>
    <row r="951" ht="18.0" customHeight="1">
      <c r="E951" s="169"/>
    </row>
    <row r="952" ht="18.0" customHeight="1">
      <c r="E952" s="169"/>
    </row>
    <row r="953" ht="18.0" customHeight="1">
      <c r="E953" s="169"/>
    </row>
    <row r="954" ht="18.0" customHeight="1">
      <c r="E954" s="169"/>
    </row>
    <row r="955" ht="18.0" customHeight="1">
      <c r="E955" s="169"/>
    </row>
    <row r="956" ht="18.0" customHeight="1">
      <c r="E956" s="169"/>
    </row>
    <row r="957" ht="18.0" customHeight="1">
      <c r="E957" s="169"/>
    </row>
    <row r="958" ht="18.0" customHeight="1">
      <c r="E958" s="169"/>
    </row>
    <row r="959" ht="18.0" customHeight="1">
      <c r="E959" s="169"/>
    </row>
    <row r="960" ht="18.0" customHeight="1">
      <c r="E960" s="169"/>
    </row>
    <row r="961" ht="18.0" customHeight="1">
      <c r="E961" s="169"/>
    </row>
    <row r="962" ht="18.0" customHeight="1">
      <c r="E962" s="169"/>
    </row>
    <row r="963" ht="18.0" customHeight="1">
      <c r="E963" s="169"/>
    </row>
    <row r="964" ht="18.0" customHeight="1">
      <c r="E964" s="169"/>
    </row>
    <row r="965" ht="18.0" customHeight="1">
      <c r="E965" s="169"/>
    </row>
    <row r="966" ht="18.0" customHeight="1">
      <c r="E966" s="169"/>
    </row>
    <row r="967" ht="18.0" customHeight="1">
      <c r="E967" s="169"/>
    </row>
    <row r="968" ht="18.0" customHeight="1">
      <c r="E968" s="169"/>
    </row>
    <row r="969" ht="18.0" customHeight="1">
      <c r="E969" s="169"/>
    </row>
    <row r="970" ht="18.0" customHeight="1">
      <c r="E970" s="169"/>
    </row>
    <row r="971" ht="18.0" customHeight="1">
      <c r="E971" s="169"/>
    </row>
    <row r="972" ht="18.0" customHeight="1">
      <c r="E972" s="169"/>
    </row>
    <row r="973" ht="18.0" customHeight="1">
      <c r="E973" s="169"/>
    </row>
    <row r="974" ht="18.0" customHeight="1">
      <c r="E974" s="169"/>
    </row>
    <row r="975" ht="18.0" customHeight="1">
      <c r="E975" s="169"/>
    </row>
    <row r="976" ht="18.0" customHeight="1">
      <c r="E976" s="169"/>
    </row>
    <row r="977" ht="18.0" customHeight="1">
      <c r="E977" s="169"/>
    </row>
    <row r="978" ht="18.0" customHeight="1">
      <c r="E978" s="169"/>
    </row>
    <row r="979" ht="18.0" customHeight="1">
      <c r="E979" s="169"/>
    </row>
    <row r="980" ht="18.0" customHeight="1">
      <c r="E980" s="169"/>
    </row>
    <row r="981" ht="18.0" customHeight="1">
      <c r="E981" s="169"/>
    </row>
    <row r="982" ht="18.0" customHeight="1">
      <c r="E982" s="169"/>
    </row>
    <row r="983" ht="18.0" customHeight="1">
      <c r="E983" s="169"/>
    </row>
    <row r="984" ht="18.0" customHeight="1">
      <c r="E984" s="169"/>
    </row>
    <row r="985" ht="18.0" customHeight="1">
      <c r="E985" s="169"/>
    </row>
    <row r="986" ht="18.0" customHeight="1">
      <c r="E986" s="169"/>
    </row>
    <row r="987" ht="18.0" customHeight="1">
      <c r="E987" s="169"/>
    </row>
    <row r="988" ht="18.0" customHeight="1">
      <c r="E988" s="169"/>
    </row>
    <row r="989" ht="18.0" customHeight="1">
      <c r="E989" s="169"/>
    </row>
    <row r="990" ht="18.0" customHeight="1">
      <c r="E990" s="169"/>
    </row>
    <row r="991" ht="18.0" customHeight="1">
      <c r="E991" s="169"/>
    </row>
    <row r="992" ht="18.0" customHeight="1">
      <c r="E992" s="169"/>
    </row>
    <row r="993" ht="18.0" customHeight="1">
      <c r="E993" s="169"/>
    </row>
    <row r="994" ht="18.0" customHeight="1">
      <c r="E994" s="169"/>
    </row>
    <row r="995" ht="18.0" customHeight="1">
      <c r="E995" s="169"/>
    </row>
    <row r="996" ht="18.0" customHeight="1">
      <c r="E996" s="169"/>
    </row>
    <row r="997" ht="18.0" customHeight="1">
      <c r="E997" s="169"/>
    </row>
    <row r="998" ht="18.0" customHeight="1">
      <c r="E998" s="169"/>
    </row>
    <row r="999" ht="18.0" customHeight="1">
      <c r="E999" s="169"/>
    </row>
    <row r="1000" ht="18.0" customHeight="1">
      <c r="E1000" s="169"/>
    </row>
    <row r="1001" ht="18.0" customHeight="1">
      <c r="E1001" s="169"/>
    </row>
    <row r="1002" ht="18.0" customHeight="1">
      <c r="E1002" s="169"/>
    </row>
    <row r="1003" ht="18.0" customHeight="1">
      <c r="E1003" s="169"/>
    </row>
    <row r="1004" ht="18.0" customHeight="1">
      <c r="E1004" s="169"/>
    </row>
    <row r="1005" ht="18.0" customHeight="1">
      <c r="E1005" s="169"/>
    </row>
    <row r="1006" ht="18.0" customHeight="1">
      <c r="E1006" s="169"/>
    </row>
    <row r="1007" ht="18.0" customHeight="1">
      <c r="E1007" s="169"/>
    </row>
    <row r="1008" ht="18.0" customHeight="1">
      <c r="E1008" s="169"/>
    </row>
    <row r="1009" ht="18.0" customHeight="1">
      <c r="E1009" s="169"/>
    </row>
    <row r="1010" ht="18.0" customHeight="1">
      <c r="E1010" s="169"/>
    </row>
    <row r="1011" ht="18.0" customHeight="1">
      <c r="E1011" s="169"/>
    </row>
    <row r="1012" ht="18.0" customHeight="1">
      <c r="E1012" s="169"/>
    </row>
    <row r="1013" ht="18.0" customHeight="1">
      <c r="E1013" s="169"/>
    </row>
    <row r="1014" ht="18.0" customHeight="1">
      <c r="E1014" s="169"/>
    </row>
    <row r="1015" ht="18.0" customHeight="1">
      <c r="E1015" s="169"/>
    </row>
    <row r="1016" ht="18.0" customHeight="1">
      <c r="E1016" s="169"/>
    </row>
    <row r="1017" ht="18.0" customHeight="1">
      <c r="E1017" s="169"/>
    </row>
    <row r="1018" ht="18.0" customHeight="1">
      <c r="E1018" s="169"/>
    </row>
    <row r="1019" ht="18.0" customHeight="1">
      <c r="E1019" s="169"/>
    </row>
    <row r="1020" ht="18.0" customHeight="1">
      <c r="E1020" s="169"/>
    </row>
    <row r="1021" ht="18.0" customHeight="1">
      <c r="E1021" s="169"/>
    </row>
    <row r="1022" ht="18.0" customHeight="1">
      <c r="E1022" s="169"/>
    </row>
    <row r="1023" ht="18.0" customHeight="1">
      <c r="E1023" s="169"/>
    </row>
    <row r="1024" ht="18.0" customHeight="1">
      <c r="E1024" s="169"/>
    </row>
    <row r="1025" ht="18.0" customHeight="1">
      <c r="E1025" s="169"/>
    </row>
    <row r="1026" ht="18.0" customHeight="1">
      <c r="E1026" s="169"/>
    </row>
    <row r="1027" ht="18.0" customHeight="1">
      <c r="E1027" s="169"/>
    </row>
    <row r="1028" ht="18.0" customHeight="1">
      <c r="E1028" s="169"/>
    </row>
    <row r="1029" ht="18.0" customHeight="1">
      <c r="E1029" s="169"/>
    </row>
    <row r="1030" ht="18.0" customHeight="1">
      <c r="E1030" s="169"/>
    </row>
    <row r="1031" ht="18.0" customHeight="1">
      <c r="E1031" s="169"/>
    </row>
    <row r="1032" ht="18.0" customHeight="1">
      <c r="E1032" s="169"/>
    </row>
    <row r="1033" ht="18.0" customHeight="1">
      <c r="E1033" s="169"/>
    </row>
    <row r="1034" ht="18.0" customHeight="1">
      <c r="E1034" s="169"/>
    </row>
    <row r="1035" ht="18.0" customHeight="1">
      <c r="E1035" s="169"/>
    </row>
    <row r="1036" ht="18.0" customHeight="1">
      <c r="E1036" s="169"/>
    </row>
    <row r="1037" ht="18.0" customHeight="1">
      <c r="E1037" s="169"/>
    </row>
    <row r="1038" ht="18.0" customHeight="1">
      <c r="E1038" s="169"/>
    </row>
    <row r="1039" ht="18.0" customHeight="1">
      <c r="E1039" s="169"/>
    </row>
    <row r="1040" ht="18.0" customHeight="1">
      <c r="E1040" s="169"/>
    </row>
    <row r="1041" ht="18.0" customHeight="1">
      <c r="E1041" s="169"/>
    </row>
    <row r="1042" ht="18.0" customHeight="1">
      <c r="E1042" s="169"/>
    </row>
    <row r="1043" ht="18.0" customHeight="1">
      <c r="E1043" s="169"/>
    </row>
    <row r="1044" ht="18.0" customHeight="1">
      <c r="E1044" s="169"/>
    </row>
    <row r="1045" ht="18.0" customHeight="1">
      <c r="E1045" s="169"/>
    </row>
    <row r="1046" ht="18.0" customHeight="1">
      <c r="E1046" s="169"/>
    </row>
    <row r="1047" ht="18.0" customHeight="1">
      <c r="E1047" s="169"/>
    </row>
    <row r="1048" ht="18.0" customHeight="1">
      <c r="E1048" s="169"/>
    </row>
    <row r="1049" ht="18.0" customHeight="1">
      <c r="E1049" s="169"/>
    </row>
    <row r="1050" ht="18.0" customHeight="1">
      <c r="E1050" s="169"/>
    </row>
    <row r="1051" ht="18.0" customHeight="1">
      <c r="E1051" s="169"/>
    </row>
    <row r="1052" ht="18.0" customHeight="1">
      <c r="E1052" s="169"/>
    </row>
    <row r="1053" ht="18.0" customHeight="1">
      <c r="E1053" s="169"/>
    </row>
    <row r="1054" ht="18.0" customHeight="1">
      <c r="E1054" s="169"/>
    </row>
    <row r="1055" ht="18.0" customHeight="1">
      <c r="E1055" s="169"/>
    </row>
    <row r="1056" ht="18.0" customHeight="1">
      <c r="E1056" s="169"/>
    </row>
    <row r="1057" ht="18.0" customHeight="1">
      <c r="E1057" s="169"/>
    </row>
    <row r="1058" ht="18.0" customHeight="1">
      <c r="E1058" s="169"/>
    </row>
    <row r="1059" ht="18.0" customHeight="1">
      <c r="E1059" s="169"/>
    </row>
    <row r="1060" ht="18.0" customHeight="1">
      <c r="E1060" s="169"/>
    </row>
    <row r="1061" ht="18.0" customHeight="1">
      <c r="E1061" s="169"/>
    </row>
    <row r="1062" ht="18.0" customHeight="1">
      <c r="E1062" s="169"/>
    </row>
    <row r="1063" ht="18.0" customHeight="1">
      <c r="E1063" s="169"/>
    </row>
    <row r="1064" ht="18.0" customHeight="1">
      <c r="E1064" s="169"/>
    </row>
    <row r="1065" ht="18.0" customHeight="1">
      <c r="E1065" s="169"/>
    </row>
    <row r="1066" ht="18.0" customHeight="1">
      <c r="E1066" s="169"/>
    </row>
    <row r="1067" ht="18.0" customHeight="1">
      <c r="E1067" s="169"/>
    </row>
    <row r="1068" ht="18.0" customHeight="1">
      <c r="E1068" s="169"/>
    </row>
    <row r="1069" ht="18.0" customHeight="1">
      <c r="E1069" s="169"/>
    </row>
    <row r="1070" ht="18.0" customHeight="1">
      <c r="E1070" s="169"/>
    </row>
    <row r="1071" ht="18.0" customHeight="1">
      <c r="E1071" s="169"/>
    </row>
    <row r="1072" ht="18.0" customHeight="1">
      <c r="E1072" s="169"/>
    </row>
    <row r="1073" ht="18.0" customHeight="1">
      <c r="E1073" s="169"/>
    </row>
    <row r="1074" ht="18.0" customHeight="1">
      <c r="E1074" s="169"/>
    </row>
    <row r="1075" ht="18.0" customHeight="1">
      <c r="E1075" s="169"/>
    </row>
    <row r="1076" ht="18.0" customHeight="1">
      <c r="E1076" s="169"/>
    </row>
    <row r="1077" ht="18.0" customHeight="1">
      <c r="E1077" s="169"/>
    </row>
    <row r="1078" ht="18.0" customHeight="1">
      <c r="E1078" s="169"/>
    </row>
    <row r="1079" ht="18.0" customHeight="1">
      <c r="E1079" s="169"/>
    </row>
    <row r="1080" ht="18.0" customHeight="1">
      <c r="E1080" s="169"/>
    </row>
    <row r="1081" ht="18.0" customHeight="1">
      <c r="E1081" s="169"/>
    </row>
    <row r="1082" ht="18.0" customHeight="1">
      <c r="E1082" s="169"/>
    </row>
    <row r="1083" ht="18.0" customHeight="1">
      <c r="E1083" s="169"/>
    </row>
    <row r="1084" ht="18.0" customHeight="1">
      <c r="E1084" s="169"/>
    </row>
    <row r="1085" ht="18.0" customHeight="1">
      <c r="E1085" s="169"/>
    </row>
    <row r="1086" ht="18.0" customHeight="1">
      <c r="E1086" s="169"/>
    </row>
    <row r="1087" ht="18.0" customHeight="1">
      <c r="E1087" s="169"/>
    </row>
    <row r="1088" ht="18.0" customHeight="1">
      <c r="E1088" s="169"/>
    </row>
    <row r="1089" ht="18.0" customHeight="1">
      <c r="E1089" s="169"/>
    </row>
    <row r="1090" ht="18.0" customHeight="1">
      <c r="E1090" s="169"/>
    </row>
    <row r="1091" ht="18.0" customHeight="1">
      <c r="E1091" s="169"/>
    </row>
    <row r="1092" ht="18.0" customHeight="1">
      <c r="E1092" s="169"/>
    </row>
    <row r="1093" ht="18.0" customHeight="1">
      <c r="E1093" s="169"/>
    </row>
    <row r="1094" ht="18.0" customHeight="1">
      <c r="E1094" s="169"/>
    </row>
    <row r="1095" ht="18.0" customHeight="1">
      <c r="E1095" s="169"/>
    </row>
    <row r="1096" ht="18.0" customHeight="1">
      <c r="E1096" s="169"/>
    </row>
    <row r="1097" ht="18.0" customHeight="1">
      <c r="E1097" s="169"/>
    </row>
    <row r="1098" ht="18.0" customHeight="1">
      <c r="E1098" s="169"/>
    </row>
    <row r="1099" ht="18.0" customHeight="1">
      <c r="E1099" s="169"/>
    </row>
    <row r="1100" ht="18.0" customHeight="1">
      <c r="E1100" s="169"/>
    </row>
    <row r="1101" ht="18.0" customHeight="1">
      <c r="E1101" s="169"/>
    </row>
    <row r="1102" ht="18.0" customHeight="1">
      <c r="E1102" s="169"/>
    </row>
    <row r="1103" ht="18.0" customHeight="1">
      <c r="E1103" s="169"/>
    </row>
    <row r="1104" ht="18.0" customHeight="1">
      <c r="E1104" s="169"/>
    </row>
    <row r="1105" ht="18.0" customHeight="1">
      <c r="E1105" s="169"/>
    </row>
    <row r="1106" ht="18.0" customHeight="1">
      <c r="E1106" s="169"/>
    </row>
    <row r="1107" ht="18.0" customHeight="1">
      <c r="E1107" s="169"/>
    </row>
  </sheetData>
  <mergeCells count="22">
    <mergeCell ref="A2:A12"/>
    <mergeCell ref="B2:B12"/>
    <mergeCell ref="A13:A23"/>
    <mergeCell ref="B13:B23"/>
    <mergeCell ref="A24:A34"/>
    <mergeCell ref="B24:B34"/>
    <mergeCell ref="B35:B45"/>
    <mergeCell ref="A82:A92"/>
    <mergeCell ref="B82:B92"/>
    <mergeCell ref="A93:A103"/>
    <mergeCell ref="B93:B103"/>
    <mergeCell ref="A104:A115"/>
    <mergeCell ref="B104:B115"/>
    <mergeCell ref="A116:A128"/>
    <mergeCell ref="B116:B128"/>
    <mergeCell ref="A35:A45"/>
    <mergeCell ref="A46:A58"/>
    <mergeCell ref="B46:B58"/>
    <mergeCell ref="A59:A70"/>
    <mergeCell ref="B59:B70"/>
    <mergeCell ref="A71:A81"/>
    <mergeCell ref="B71:B8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9.67"/>
    <col customWidth="1" min="4" max="4" width="21.67"/>
  </cols>
  <sheetData>
    <row r="1">
      <c r="A1" s="266" t="s">
        <v>169</v>
      </c>
      <c r="B1" s="267" t="s">
        <v>131</v>
      </c>
      <c r="C1" s="175" t="s">
        <v>328</v>
      </c>
    </row>
    <row r="2">
      <c r="A2" s="268" t="s">
        <v>329</v>
      </c>
      <c r="B2" s="269" t="s">
        <v>330</v>
      </c>
      <c r="C2" s="270" t="s">
        <v>331</v>
      </c>
      <c r="D2" s="175" t="s">
        <v>311</v>
      </c>
    </row>
    <row r="3">
      <c r="A3" s="271" t="s">
        <v>183</v>
      </c>
      <c r="B3" s="272" t="s">
        <v>332</v>
      </c>
      <c r="D3" s="240" t="s">
        <v>257</v>
      </c>
      <c r="E3" s="246" t="s">
        <v>226</v>
      </c>
    </row>
    <row r="4">
      <c r="A4" s="271" t="s">
        <v>114</v>
      </c>
      <c r="B4" s="272" t="s">
        <v>333</v>
      </c>
      <c r="C4" s="175" t="s">
        <v>251</v>
      </c>
      <c r="D4" s="240" t="s">
        <v>200</v>
      </c>
      <c r="E4" s="175" t="s">
        <v>217</v>
      </c>
    </row>
    <row r="5">
      <c r="A5" s="271" t="s">
        <v>102</v>
      </c>
      <c r="B5" s="272" t="s">
        <v>333</v>
      </c>
    </row>
    <row r="6">
      <c r="A6" s="240" t="s">
        <v>110</v>
      </c>
      <c r="B6" s="240" t="s">
        <v>334</v>
      </c>
      <c r="C6" s="175" t="s">
        <v>138</v>
      </c>
      <c r="D6" s="240" t="s">
        <v>136</v>
      </c>
      <c r="E6" s="246" t="s">
        <v>223</v>
      </c>
    </row>
    <row r="7">
      <c r="A7" s="240" t="s">
        <v>190</v>
      </c>
      <c r="B7" s="240" t="s">
        <v>335</v>
      </c>
      <c r="C7" s="240" t="s">
        <v>307</v>
      </c>
      <c r="D7" s="240" t="s">
        <v>306</v>
      </c>
    </row>
    <row r="8">
      <c r="A8" s="175" t="s">
        <v>90</v>
      </c>
      <c r="B8" s="175" t="s">
        <v>336</v>
      </c>
      <c r="C8" s="175" t="s">
        <v>144</v>
      </c>
      <c r="D8" s="175" t="s">
        <v>142</v>
      </c>
      <c r="E8" s="175" t="s">
        <v>217</v>
      </c>
    </row>
    <row r="9">
      <c r="A9" s="273" t="s">
        <v>17</v>
      </c>
      <c r="B9" s="274" t="s">
        <v>337</v>
      </c>
      <c r="C9" s="273" t="s">
        <v>251</v>
      </c>
      <c r="D9" s="275" t="s">
        <v>250</v>
      </c>
    </row>
    <row r="10">
      <c r="A10" s="275" t="s">
        <v>180</v>
      </c>
      <c r="B10" s="274" t="s">
        <v>336</v>
      </c>
      <c r="C10" s="276" t="s">
        <v>144</v>
      </c>
      <c r="D10" s="240" t="s">
        <v>142</v>
      </c>
      <c r="E10" s="175" t="s">
        <v>263</v>
      </c>
    </row>
    <row r="11">
      <c r="A11" s="276" t="s">
        <v>189</v>
      </c>
      <c r="B11" s="274"/>
      <c r="C11" s="276" t="s">
        <v>144</v>
      </c>
      <c r="D11" s="275" t="s">
        <v>142</v>
      </c>
    </row>
    <row r="12">
      <c r="A12" s="240" t="s">
        <v>94</v>
      </c>
      <c r="D12" s="240" t="s">
        <v>239</v>
      </c>
    </row>
    <row r="14">
      <c r="A14" s="175" t="s">
        <v>338</v>
      </c>
      <c r="B14" s="277" t="s">
        <v>339</v>
      </c>
    </row>
    <row r="15">
      <c r="A15" s="275" t="s">
        <v>340</v>
      </c>
      <c r="B15" s="175" t="s">
        <v>144</v>
      </c>
      <c r="C15" s="175" t="s">
        <v>144</v>
      </c>
      <c r="D15" s="278" t="s">
        <v>142</v>
      </c>
    </row>
    <row r="16">
      <c r="A16" s="275" t="s">
        <v>186</v>
      </c>
      <c r="C16" s="175" t="s">
        <v>240</v>
      </c>
      <c r="D16" s="279" t="s">
        <v>239</v>
      </c>
    </row>
    <row r="17">
      <c r="A17" s="275" t="s">
        <v>86</v>
      </c>
      <c r="B17" s="175" t="s">
        <v>341</v>
      </c>
      <c r="C17" s="175" t="s">
        <v>240</v>
      </c>
      <c r="D17" s="279" t="s">
        <v>239</v>
      </c>
    </row>
    <row r="18">
      <c r="A18" s="280" t="s">
        <v>182</v>
      </c>
      <c r="B18" s="175" t="s">
        <v>181</v>
      </c>
      <c r="C18" s="175" t="s">
        <v>342</v>
      </c>
      <c r="D18" s="175" t="s">
        <v>142</v>
      </c>
    </row>
    <row r="19">
      <c r="A19" s="175" t="s">
        <v>106</v>
      </c>
      <c r="B19" s="175" t="s">
        <v>343</v>
      </c>
    </row>
  </sheetData>
  <drawing r:id="rId1"/>
</worksheet>
</file>